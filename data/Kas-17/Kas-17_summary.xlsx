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dneystoleair/Documents/Research/Repositories/Kasplya/XRF/data/Kas-17/"/>
    </mc:Choice>
  </mc:AlternateContent>
  <xr:revisionPtr revIDLastSave="0" documentId="13_ncr:1_{80961112-8767-A948-B4D9-D73384C4FAA2}" xr6:coauthVersionLast="47" xr6:coauthVersionMax="47" xr10:uidLastSave="{00000000-0000-0000-0000-000000000000}"/>
  <bookViews>
    <workbookView xWindow="0" yWindow="760" windowWidth="28800" windowHeight="16220" xr2:uid="{83570C6F-0209-4C4E-87DC-2A23A76C91C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03" i="1" l="1"/>
  <c r="F303" i="1"/>
  <c r="J302" i="1"/>
  <c r="F302" i="1"/>
  <c r="J301" i="1"/>
  <c r="F301" i="1"/>
  <c r="J300" i="1"/>
  <c r="F300" i="1"/>
  <c r="J299" i="1"/>
  <c r="F299" i="1"/>
  <c r="J298" i="1"/>
  <c r="F298" i="1"/>
  <c r="J297" i="1"/>
  <c r="F297" i="1"/>
  <c r="J296" i="1"/>
  <c r="F296" i="1"/>
  <c r="J295" i="1"/>
  <c r="F295" i="1"/>
  <c r="J294" i="1"/>
  <c r="F294" i="1"/>
  <c r="J293" i="1"/>
  <c r="F293" i="1"/>
  <c r="J292" i="1"/>
  <c r="F292" i="1"/>
  <c r="J291" i="1"/>
  <c r="F291" i="1"/>
  <c r="J290" i="1"/>
  <c r="F290" i="1"/>
  <c r="J289" i="1"/>
  <c r="F289" i="1"/>
  <c r="J288" i="1"/>
  <c r="F288" i="1"/>
  <c r="J287" i="1"/>
  <c r="F287" i="1"/>
  <c r="J286" i="1"/>
  <c r="F286" i="1"/>
  <c r="J285" i="1"/>
  <c r="F285" i="1"/>
  <c r="J284" i="1"/>
  <c r="F284" i="1"/>
  <c r="J283" i="1"/>
  <c r="F283" i="1"/>
  <c r="J282" i="1"/>
  <c r="F282" i="1"/>
  <c r="J281" i="1"/>
  <c r="F281" i="1"/>
  <c r="J280" i="1"/>
  <c r="F280" i="1"/>
  <c r="J279" i="1"/>
  <c r="F279" i="1"/>
  <c r="J278" i="1"/>
  <c r="F278" i="1"/>
  <c r="J277" i="1"/>
  <c r="F277" i="1"/>
  <c r="J276" i="1"/>
  <c r="F276" i="1"/>
  <c r="J275" i="1"/>
  <c r="F275" i="1"/>
  <c r="J274" i="1"/>
  <c r="F274" i="1"/>
  <c r="J273" i="1"/>
  <c r="F273" i="1"/>
  <c r="J272" i="1"/>
  <c r="F272" i="1"/>
  <c r="J271" i="1"/>
  <c r="F271" i="1"/>
  <c r="J270" i="1"/>
  <c r="F270" i="1"/>
  <c r="J269" i="1"/>
  <c r="F269" i="1"/>
  <c r="J268" i="1"/>
  <c r="F268" i="1"/>
  <c r="J267" i="1"/>
  <c r="F267" i="1"/>
  <c r="J266" i="1"/>
  <c r="F266" i="1"/>
  <c r="J265" i="1"/>
  <c r="F265" i="1"/>
  <c r="J264" i="1"/>
  <c r="F264" i="1"/>
  <c r="J263" i="1"/>
  <c r="F263" i="1"/>
  <c r="J262" i="1"/>
  <c r="F262" i="1"/>
  <c r="J261" i="1"/>
  <c r="F261" i="1"/>
  <c r="J260" i="1"/>
  <c r="F260" i="1"/>
  <c r="J259" i="1"/>
  <c r="F259" i="1"/>
  <c r="J258" i="1"/>
  <c r="F258" i="1"/>
  <c r="J257" i="1"/>
  <c r="F257" i="1"/>
  <c r="J256" i="1"/>
  <c r="F256" i="1"/>
  <c r="J255" i="1"/>
  <c r="F255" i="1"/>
  <c r="J254" i="1"/>
  <c r="F254" i="1"/>
  <c r="J253" i="1"/>
  <c r="F253" i="1"/>
  <c r="J252" i="1"/>
  <c r="F252" i="1"/>
  <c r="J251" i="1"/>
  <c r="F251" i="1"/>
  <c r="J250" i="1"/>
  <c r="F250" i="1"/>
  <c r="J249" i="1"/>
  <c r="F249" i="1"/>
  <c r="J248" i="1"/>
  <c r="F248" i="1"/>
  <c r="J247" i="1"/>
  <c r="F247" i="1"/>
  <c r="J246" i="1"/>
  <c r="F246" i="1"/>
  <c r="J245" i="1"/>
  <c r="F245" i="1"/>
  <c r="J244" i="1"/>
  <c r="F244" i="1"/>
  <c r="J243" i="1"/>
  <c r="F243" i="1"/>
  <c r="J242" i="1"/>
  <c r="F242" i="1"/>
  <c r="J241" i="1"/>
  <c r="F241" i="1"/>
  <c r="J240" i="1"/>
  <c r="F240" i="1"/>
  <c r="J239" i="1"/>
  <c r="F239" i="1"/>
  <c r="J238" i="1"/>
  <c r="F238" i="1"/>
  <c r="J237" i="1"/>
  <c r="F237" i="1"/>
  <c r="J236" i="1"/>
  <c r="F236" i="1"/>
  <c r="J235" i="1"/>
  <c r="F235" i="1"/>
  <c r="J234" i="1"/>
  <c r="F234" i="1"/>
  <c r="J233" i="1"/>
  <c r="F233" i="1"/>
  <c r="J232" i="1"/>
  <c r="F232" i="1"/>
  <c r="J231" i="1"/>
  <c r="F231" i="1"/>
  <c r="J230" i="1"/>
  <c r="F230" i="1"/>
  <c r="J229" i="1"/>
  <c r="F229" i="1"/>
  <c r="J228" i="1"/>
  <c r="F228" i="1"/>
  <c r="J227" i="1"/>
  <c r="F227" i="1"/>
  <c r="J226" i="1"/>
  <c r="F226" i="1"/>
  <c r="J225" i="1"/>
  <c r="F225" i="1"/>
  <c r="J224" i="1"/>
  <c r="F224" i="1"/>
  <c r="J223" i="1"/>
  <c r="F223" i="1"/>
  <c r="J222" i="1"/>
  <c r="F222" i="1"/>
  <c r="J221" i="1"/>
  <c r="F221" i="1"/>
  <c r="J220" i="1"/>
  <c r="F220" i="1"/>
  <c r="J219" i="1"/>
  <c r="F219" i="1"/>
  <c r="J218" i="1"/>
  <c r="F218" i="1"/>
  <c r="J217" i="1"/>
  <c r="F217" i="1"/>
  <c r="J216" i="1"/>
  <c r="F216" i="1"/>
  <c r="J215" i="1"/>
  <c r="F215" i="1"/>
  <c r="J214" i="1"/>
  <c r="F214" i="1"/>
  <c r="J213" i="1"/>
  <c r="F213" i="1"/>
  <c r="J212" i="1"/>
  <c r="F212" i="1"/>
  <c r="J211" i="1"/>
  <c r="F211" i="1"/>
  <c r="J210" i="1"/>
  <c r="F210" i="1"/>
  <c r="J209" i="1"/>
  <c r="F209" i="1"/>
  <c r="J208" i="1"/>
  <c r="F208" i="1"/>
  <c r="J207" i="1"/>
  <c r="F207" i="1"/>
  <c r="J206" i="1"/>
  <c r="F206" i="1"/>
  <c r="J205" i="1"/>
  <c r="F205" i="1"/>
  <c r="J204" i="1"/>
  <c r="F204" i="1"/>
  <c r="J203" i="1"/>
  <c r="F203" i="1"/>
  <c r="J202" i="1"/>
  <c r="F202" i="1"/>
  <c r="J201" i="1"/>
  <c r="F201" i="1"/>
  <c r="J200" i="1"/>
  <c r="F200" i="1"/>
  <c r="J199" i="1"/>
  <c r="F199" i="1"/>
  <c r="J198" i="1"/>
  <c r="F198" i="1"/>
  <c r="J197" i="1"/>
  <c r="F197" i="1"/>
  <c r="J196" i="1"/>
  <c r="F196" i="1"/>
  <c r="J195" i="1"/>
  <c r="F195" i="1"/>
  <c r="J194" i="1"/>
  <c r="F194" i="1"/>
  <c r="J193" i="1"/>
  <c r="F193" i="1"/>
  <c r="J192" i="1"/>
  <c r="F192" i="1"/>
  <c r="J191" i="1"/>
  <c r="F191" i="1"/>
  <c r="J190" i="1"/>
  <c r="F190" i="1"/>
  <c r="J189" i="1"/>
  <c r="F189" i="1"/>
  <c r="J188" i="1"/>
  <c r="F188" i="1"/>
  <c r="J187" i="1"/>
  <c r="F187" i="1"/>
  <c r="J186" i="1"/>
  <c r="F186" i="1"/>
  <c r="J185" i="1"/>
  <c r="F185" i="1"/>
  <c r="J184" i="1"/>
  <c r="F184" i="1"/>
  <c r="J183" i="1"/>
  <c r="F183" i="1"/>
  <c r="J182" i="1"/>
  <c r="F182" i="1"/>
  <c r="J181" i="1"/>
  <c r="F181" i="1"/>
  <c r="J180" i="1"/>
  <c r="F180" i="1"/>
  <c r="J179" i="1"/>
  <c r="F179" i="1"/>
  <c r="J178" i="1"/>
  <c r="F178" i="1"/>
  <c r="J177" i="1"/>
  <c r="F177" i="1"/>
  <c r="J176" i="1"/>
  <c r="F176" i="1"/>
  <c r="J175" i="1"/>
  <c r="F175" i="1"/>
  <c r="J174" i="1"/>
  <c r="F174" i="1"/>
  <c r="J173" i="1"/>
  <c r="F173" i="1"/>
  <c r="J172" i="1"/>
  <c r="F172" i="1"/>
  <c r="J171" i="1"/>
  <c r="F171" i="1"/>
  <c r="J170" i="1"/>
  <c r="F170" i="1"/>
  <c r="J169" i="1"/>
  <c r="F169" i="1"/>
  <c r="J168" i="1"/>
  <c r="F168" i="1"/>
  <c r="J167" i="1"/>
  <c r="F167" i="1"/>
  <c r="J166" i="1"/>
  <c r="F166" i="1"/>
  <c r="J165" i="1"/>
  <c r="F165" i="1"/>
  <c r="J164" i="1"/>
  <c r="F164" i="1"/>
  <c r="J163" i="1"/>
  <c r="F163" i="1"/>
  <c r="J162" i="1"/>
  <c r="F162" i="1"/>
  <c r="J161" i="1"/>
  <c r="F161" i="1"/>
  <c r="J160" i="1"/>
  <c r="F160" i="1"/>
  <c r="J159" i="1"/>
  <c r="F159" i="1"/>
  <c r="J158" i="1"/>
  <c r="F158" i="1"/>
  <c r="J157" i="1"/>
  <c r="F157" i="1"/>
  <c r="J156" i="1"/>
  <c r="F156" i="1"/>
  <c r="J155" i="1"/>
  <c r="F155" i="1"/>
  <c r="J154" i="1"/>
  <c r="F154" i="1"/>
  <c r="J153" i="1"/>
  <c r="F153" i="1"/>
  <c r="J152" i="1"/>
  <c r="F152" i="1"/>
  <c r="J151" i="1"/>
  <c r="F151" i="1"/>
  <c r="J150" i="1"/>
  <c r="F150" i="1"/>
  <c r="J149" i="1"/>
  <c r="F149" i="1"/>
  <c r="J148" i="1"/>
  <c r="F148" i="1"/>
  <c r="J147" i="1"/>
  <c r="F147" i="1"/>
  <c r="J146" i="1"/>
  <c r="F146" i="1"/>
  <c r="J145" i="1"/>
  <c r="F145" i="1"/>
  <c r="J144" i="1"/>
  <c r="F144" i="1"/>
  <c r="J143" i="1"/>
  <c r="F143" i="1"/>
  <c r="J142" i="1"/>
  <c r="F142" i="1"/>
  <c r="J141" i="1"/>
  <c r="F141" i="1"/>
  <c r="J140" i="1"/>
  <c r="F140" i="1"/>
  <c r="J139" i="1"/>
  <c r="F139" i="1"/>
  <c r="J138" i="1"/>
  <c r="F138" i="1"/>
  <c r="J137" i="1"/>
  <c r="F137" i="1"/>
  <c r="J136" i="1"/>
  <c r="F136" i="1"/>
  <c r="J135" i="1"/>
  <c r="F135" i="1"/>
  <c r="J134" i="1"/>
  <c r="F134" i="1"/>
  <c r="J133" i="1"/>
  <c r="F133" i="1"/>
  <c r="J132" i="1"/>
  <c r="F132" i="1"/>
  <c r="J131" i="1"/>
  <c r="F131" i="1"/>
  <c r="J130" i="1"/>
  <c r="F130" i="1"/>
  <c r="J129" i="1"/>
  <c r="F129" i="1"/>
  <c r="J128" i="1"/>
  <c r="F128" i="1"/>
  <c r="J127" i="1"/>
  <c r="F127" i="1"/>
  <c r="J126" i="1"/>
  <c r="F126" i="1"/>
  <c r="J125" i="1"/>
  <c r="F125" i="1"/>
  <c r="J124" i="1"/>
  <c r="F124" i="1"/>
  <c r="J123" i="1"/>
  <c r="F123" i="1"/>
  <c r="J122" i="1"/>
  <c r="F122" i="1"/>
  <c r="J121" i="1"/>
  <c r="F121" i="1"/>
  <c r="J120" i="1"/>
  <c r="F120" i="1"/>
  <c r="J119" i="1"/>
  <c r="F119" i="1"/>
  <c r="J118" i="1"/>
  <c r="F118" i="1"/>
  <c r="J117" i="1"/>
  <c r="F117" i="1"/>
  <c r="J116" i="1"/>
  <c r="F116" i="1"/>
  <c r="J115" i="1"/>
  <c r="F115" i="1"/>
  <c r="J114" i="1"/>
  <c r="F114" i="1"/>
  <c r="J113" i="1"/>
  <c r="F113" i="1"/>
  <c r="J112" i="1"/>
  <c r="F112" i="1"/>
  <c r="J111" i="1"/>
  <c r="F111" i="1"/>
  <c r="J110" i="1"/>
  <c r="F110" i="1"/>
  <c r="J109" i="1"/>
  <c r="F109" i="1"/>
  <c r="J108" i="1"/>
  <c r="F108" i="1"/>
  <c r="J107" i="1"/>
  <c r="F107" i="1"/>
  <c r="J106" i="1"/>
  <c r="F106" i="1"/>
  <c r="J105" i="1"/>
  <c r="F105" i="1"/>
  <c r="J104" i="1"/>
  <c r="F104" i="1"/>
  <c r="J103" i="1"/>
  <c r="F103" i="1"/>
  <c r="J102" i="1"/>
  <c r="F102" i="1"/>
  <c r="J101" i="1"/>
  <c r="F101" i="1"/>
  <c r="J100" i="1"/>
  <c r="F100" i="1"/>
  <c r="J99" i="1"/>
  <c r="F99" i="1"/>
  <c r="J98" i="1"/>
  <c r="F98" i="1"/>
  <c r="J97" i="1"/>
  <c r="F97" i="1"/>
  <c r="J96" i="1"/>
  <c r="F96" i="1"/>
  <c r="J95" i="1"/>
  <c r="F95" i="1"/>
  <c r="J94" i="1"/>
  <c r="F94" i="1"/>
  <c r="J93" i="1"/>
  <c r="F93" i="1"/>
  <c r="J92" i="1"/>
  <c r="F92" i="1"/>
  <c r="J91" i="1"/>
  <c r="F91" i="1"/>
  <c r="J90" i="1"/>
  <c r="F90" i="1"/>
  <c r="J89" i="1"/>
  <c r="F89" i="1"/>
  <c r="J88" i="1"/>
  <c r="F88" i="1"/>
  <c r="J87" i="1"/>
  <c r="F87" i="1"/>
  <c r="J86" i="1"/>
  <c r="F86" i="1"/>
  <c r="J85" i="1"/>
  <c r="F85" i="1"/>
  <c r="J84" i="1"/>
  <c r="F84" i="1"/>
  <c r="J83" i="1"/>
  <c r="F83" i="1"/>
  <c r="J82" i="1"/>
  <c r="F82" i="1"/>
  <c r="J81" i="1"/>
  <c r="F81" i="1"/>
  <c r="J80" i="1"/>
  <c r="F80" i="1"/>
  <c r="J79" i="1"/>
  <c r="F79" i="1"/>
  <c r="J78" i="1"/>
  <c r="F78" i="1"/>
  <c r="J77" i="1"/>
  <c r="F77" i="1"/>
  <c r="J76" i="1"/>
  <c r="F76" i="1"/>
  <c r="J75" i="1"/>
  <c r="F75" i="1"/>
  <c r="J74" i="1"/>
  <c r="F74" i="1"/>
  <c r="J73" i="1"/>
  <c r="F73" i="1"/>
  <c r="J72" i="1"/>
  <c r="F72" i="1"/>
  <c r="J71" i="1"/>
  <c r="F71" i="1"/>
  <c r="J70" i="1"/>
  <c r="F70" i="1"/>
  <c r="J69" i="1"/>
  <c r="F69" i="1"/>
  <c r="J68" i="1"/>
  <c r="F68" i="1"/>
  <c r="J67" i="1"/>
  <c r="F67" i="1"/>
  <c r="J66" i="1"/>
  <c r="F66" i="1"/>
  <c r="J65" i="1"/>
  <c r="F65" i="1"/>
  <c r="J64" i="1"/>
  <c r="F64" i="1"/>
  <c r="J63" i="1"/>
  <c r="F63" i="1"/>
  <c r="J62" i="1"/>
  <c r="F62" i="1"/>
  <c r="J61" i="1"/>
  <c r="F61" i="1"/>
  <c r="J60" i="1"/>
  <c r="F60" i="1"/>
  <c r="J59" i="1"/>
  <c r="F59" i="1"/>
  <c r="J58" i="1"/>
  <c r="F58" i="1"/>
  <c r="J57" i="1"/>
  <c r="F57" i="1"/>
  <c r="J56" i="1"/>
  <c r="F56" i="1"/>
  <c r="J55" i="1"/>
  <c r="F55" i="1"/>
  <c r="J54" i="1"/>
  <c r="F54" i="1"/>
  <c r="J53" i="1"/>
  <c r="F53" i="1"/>
  <c r="J52" i="1"/>
  <c r="F52" i="1"/>
  <c r="J51" i="1"/>
  <c r="F51" i="1"/>
  <c r="J50" i="1"/>
  <c r="F50" i="1"/>
  <c r="J49" i="1"/>
  <c r="F49" i="1"/>
  <c r="J48" i="1"/>
  <c r="F48" i="1"/>
  <c r="J47" i="1"/>
  <c r="F47" i="1"/>
  <c r="J46" i="1"/>
  <c r="F46" i="1"/>
  <c r="J45" i="1"/>
  <c r="F45" i="1"/>
  <c r="J44" i="1"/>
  <c r="F44" i="1"/>
  <c r="J43" i="1"/>
  <c r="F43" i="1"/>
  <c r="J42" i="1"/>
  <c r="F42" i="1"/>
  <c r="J41" i="1"/>
  <c r="F41" i="1"/>
  <c r="J40" i="1"/>
  <c r="F40" i="1"/>
  <c r="J39" i="1"/>
  <c r="F39" i="1"/>
  <c r="J38" i="1"/>
  <c r="F38" i="1"/>
  <c r="J37" i="1"/>
  <c r="F37" i="1"/>
  <c r="J36" i="1"/>
  <c r="F36" i="1"/>
  <c r="J35" i="1"/>
  <c r="F35" i="1"/>
  <c r="J34" i="1"/>
  <c r="F34" i="1"/>
  <c r="J33" i="1"/>
  <c r="F33" i="1"/>
  <c r="J32" i="1"/>
  <c r="F32" i="1"/>
  <c r="J31" i="1"/>
  <c r="F31" i="1"/>
  <c r="J30" i="1"/>
  <c r="F30" i="1"/>
  <c r="J29" i="1"/>
  <c r="F29" i="1"/>
  <c r="J28" i="1"/>
  <c r="F28" i="1"/>
  <c r="J27" i="1"/>
  <c r="F27" i="1"/>
  <c r="J26" i="1"/>
  <c r="F26" i="1"/>
  <c r="J25" i="1"/>
  <c r="F25" i="1"/>
  <c r="J24" i="1"/>
  <c r="F24" i="1"/>
  <c r="J23" i="1"/>
  <c r="F23" i="1"/>
  <c r="J22" i="1"/>
  <c r="F22" i="1"/>
  <c r="J21" i="1"/>
  <c r="F21" i="1"/>
  <c r="J20" i="1"/>
  <c r="F20" i="1"/>
  <c r="J19" i="1"/>
  <c r="F19" i="1"/>
  <c r="J18" i="1"/>
  <c r="F18" i="1"/>
  <c r="J17" i="1"/>
  <c r="F17" i="1"/>
  <c r="J16" i="1"/>
  <c r="F16" i="1"/>
  <c r="J15" i="1"/>
  <c r="F15" i="1"/>
  <c r="J14" i="1"/>
  <c r="F14" i="1"/>
  <c r="J13" i="1"/>
  <c r="F13" i="1"/>
  <c r="J12" i="1"/>
  <c r="F12" i="1"/>
  <c r="J11" i="1"/>
  <c r="F11" i="1"/>
  <c r="J10" i="1"/>
  <c r="F10" i="1"/>
  <c r="J9" i="1"/>
  <c r="F9" i="1"/>
  <c r="J8" i="1"/>
  <c r="F8" i="1"/>
  <c r="J7" i="1"/>
  <c r="F7" i="1"/>
  <c r="J6" i="1"/>
  <c r="F6" i="1"/>
  <c r="J5" i="1"/>
  <c r="F5" i="1"/>
  <c r="J4" i="1"/>
  <c r="F4" i="1"/>
  <c r="J3" i="1"/>
  <c r="K3" i="1" s="1"/>
  <c r="F3" i="1"/>
  <c r="F2" i="1"/>
  <c r="K4" i="1" l="1"/>
  <c r="K5" i="1" s="1"/>
  <c r="K6" i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</calcChain>
</file>

<file path=xl/sharedStrings.xml><?xml version="1.0" encoding="utf-8"?>
<sst xmlns="http://schemas.openxmlformats.org/spreadsheetml/2006/main" count="24" uniqueCount="23">
  <si>
    <t>№</t>
  </si>
  <si>
    <t xml:space="preserve"> LOI 550</t>
  </si>
  <si>
    <t xml:space="preserve"> LOI d950</t>
  </si>
  <si>
    <t>СO2</t>
  </si>
  <si>
    <t>УМВ 500HZ</t>
  </si>
  <si>
    <t>объёмный вес, гр/см3</t>
  </si>
  <si>
    <t>Прирост массы на 5 см3, гр</t>
  </si>
  <si>
    <t>кумулятивная масса, гр</t>
  </si>
  <si>
    <t>мелкая глина</t>
  </si>
  <si>
    <t>крупная глина</t>
  </si>
  <si>
    <t>мелкий алеврит</t>
  </si>
  <si>
    <t>средний алеврит</t>
  </si>
  <si>
    <t>крупный алеврит</t>
  </si>
  <si>
    <t>грубый алеврит</t>
  </si>
  <si>
    <t>тонкий песок</t>
  </si>
  <si>
    <t>мелкий песок</t>
  </si>
  <si>
    <t>средний песок</t>
  </si>
  <si>
    <t>крупный песок</t>
  </si>
  <si>
    <t>грубый песок</t>
  </si>
  <si>
    <t>гравий</t>
  </si>
  <si>
    <t>Влажность, %</t>
  </si>
  <si>
    <t>Глубина от льда, м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</si>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</sst>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2"/>
      <color theme="1"/>
      <name val="Calibri"/>
      <family val="2"/>
      <charset val="20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indexed="64"/>
      <name val="Arial"/>
      <family val="2"/>
    </font>
    <font>
      <b/>
      <sz val="11"/>
      <color theme="5"/>
      <name val="Arial"/>
      <family val="2"/>
    </font>
    <font>
      <b/>
      <sz val="11"/>
      <color theme="4"/>
      <name val="Arial"/>
      <family val="2"/>
    </font>
    <font>
      <sz val="11"/>
      <color indexed="64"/>
      <name val="Arial"/>
      <family val="2"/>
    </font>
    <font>
      <sz val="10"/>
      <color indexed="64"/>
      <name val="Arial"/>
      <family val="2"/>
    </font>
    <font>
      <sz val="11"/>
      <color rgb="FF000000"/>
      <name val="Arial"/>
      <family val="2"/>
    </font>
    <font>
      <sz val="11"/>
      <color rgb="FFFFFF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5"/>
      </patternFill>
    </fill>
    <fill>
      <patternFill patternType="solid">
        <fgColor theme="7" tint="0.59999389629810485"/>
        <bgColor theme="0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6" fillId="0" borderId="1" xfId="0" applyFont="1" applyBorder="1"/>
    <xf numFmtId="2" fontId="1" fillId="2" borderId="1" xfId="0" applyNumberFormat="1" applyFont="1" applyFill="1" applyBorder="1" applyAlignment="1">
      <alignment horizontal="center" vertical="center"/>
    </xf>
    <xf numFmtId="2" fontId="6" fillId="0" borderId="1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7" fillId="0" borderId="2" xfId="0" applyFont="1" applyBorder="1" applyAlignment="1">
      <alignment horizontal="center"/>
    </xf>
    <xf numFmtId="0" fontId="6" fillId="0" borderId="0" xfId="0" applyFont="1" applyBorder="1"/>
    <xf numFmtId="2" fontId="1" fillId="2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Border="1"/>
    <xf numFmtId="164" fontId="1" fillId="0" borderId="0" xfId="0" applyNumberFormat="1" applyFont="1" applyBorder="1"/>
    <xf numFmtId="2" fontId="8" fillId="0" borderId="0" xfId="0" applyNumberFormat="1" applyFont="1" applyBorder="1" applyAlignment="1">
      <alignment horizontal="right"/>
    </xf>
    <xf numFmtId="2" fontId="7" fillId="0" borderId="0" xfId="0" applyNumberFormat="1" applyFont="1" applyBorder="1" applyAlignment="1">
      <alignment horizontal="center"/>
    </xf>
    <xf numFmtId="2" fontId="7" fillId="0" borderId="3" xfId="0" applyNumberFormat="1" applyFont="1" applyBorder="1" applyAlignment="1">
      <alignment horizontal="center"/>
    </xf>
    <xf numFmtId="0" fontId="6" fillId="0" borderId="4" xfId="0" applyFont="1" applyBorder="1"/>
    <xf numFmtId="2" fontId="1" fillId="2" borderId="4" xfId="0" applyNumberFormat="1" applyFont="1" applyFill="1" applyBorder="1" applyAlignment="1">
      <alignment horizontal="center" vertical="center"/>
    </xf>
    <xf numFmtId="2" fontId="6" fillId="0" borderId="4" xfId="0" applyNumberFormat="1" applyFont="1" applyBorder="1"/>
    <xf numFmtId="164" fontId="1" fillId="0" borderId="4" xfId="0" applyNumberFormat="1" applyFont="1" applyBorder="1"/>
    <xf numFmtId="2" fontId="8" fillId="0" borderId="4" xfId="0" applyNumberFormat="1" applyFont="1" applyBorder="1" applyAlignment="1">
      <alignment horizontal="right"/>
    </xf>
    <xf numFmtId="2" fontId="7" fillId="0" borderId="4" xfId="0" applyNumberFormat="1" applyFont="1" applyBorder="1" applyAlignment="1">
      <alignment horizontal="center"/>
    </xf>
    <xf numFmtId="2" fontId="7" fillId="0" borderId="5" xfId="0" applyNumberFormat="1" applyFont="1" applyBorder="1" applyAlignment="1">
      <alignment horizontal="center"/>
    </xf>
    <xf numFmtId="164" fontId="1" fillId="0" borderId="1" xfId="0" applyNumberFormat="1" applyFont="1" applyBorder="1"/>
    <xf numFmtId="2" fontId="8" fillId="0" borderId="1" xfId="0" applyNumberFormat="1" applyFont="1" applyBorder="1" applyAlignment="1">
      <alignment horizontal="right"/>
    </xf>
    <xf numFmtId="2" fontId="7" fillId="0" borderId="1" xfId="0" applyNumberFormat="1" applyFont="1" applyBorder="1" applyAlignment="1">
      <alignment horizontal="center"/>
    </xf>
    <xf numFmtId="2" fontId="7" fillId="0" borderId="2" xfId="0" applyNumberFormat="1" applyFont="1" applyBorder="1" applyAlignment="1">
      <alignment horizontal="center"/>
    </xf>
    <xf numFmtId="2" fontId="1" fillId="3" borderId="0" xfId="0" applyNumberFormat="1" applyFont="1" applyFill="1" applyBorder="1" applyAlignment="1">
      <alignment horizontal="center" vertical="center"/>
    </xf>
    <xf numFmtId="2" fontId="9" fillId="2" borderId="0" xfId="0" applyNumberFormat="1" applyFont="1" applyFill="1" applyBorder="1" applyAlignment="1">
      <alignment horizontal="center" vertical="center"/>
    </xf>
    <xf numFmtId="2" fontId="1" fillId="4" borderId="0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1" fillId="5" borderId="0" xfId="0" applyNumberFormat="1" applyFont="1" applyFill="1" applyBorder="1" applyAlignment="1">
      <alignment horizontal="center" vertical="center"/>
    </xf>
    <xf numFmtId="164" fontId="6" fillId="0" borderId="0" xfId="0" applyNumberFormat="1" applyFont="1" applyBorder="1"/>
    <xf numFmtId="164" fontId="6" fillId="0" borderId="4" xfId="0" applyNumberFormat="1" applyFont="1" applyBorder="1"/>
    <xf numFmtId="0" fontId="6" fillId="0" borderId="0" xfId="0" applyFont="1" applyFill="1" applyBorder="1"/>
    <xf numFmtId="2" fontId="6" fillId="0" borderId="0" xfId="0" applyNumberFormat="1" applyFont="1" applyFill="1" applyBorder="1"/>
    <xf numFmtId="2" fontId="3" fillId="6" borderId="0" xfId="0" applyNumberFormat="1" applyFont="1" applyFill="1" applyBorder="1"/>
    <xf numFmtId="2" fontId="1" fillId="3" borderId="4" xfId="0" applyNumberFormat="1" applyFont="1" applyFill="1" applyBorder="1" applyAlignment="1">
      <alignment horizontal="center" vertical="center"/>
    </xf>
    <xf numFmtId="0" fontId="1" fillId="0" borderId="0" xfId="0" applyFont="1" applyBorder="1"/>
    <xf numFmtId="2" fontId="6" fillId="2" borderId="0" xfId="0" applyNumberFormat="1" applyFont="1" applyFill="1" applyBorder="1"/>
    <xf numFmtId="2" fontId="1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wrapText="1"/>
    </xf>
    <xf numFmtId="0" fontId="1" fillId="0" borderId="3" xfId="0" applyFont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148</xdr:row>
      <xdr:rowOff>0</xdr:rowOff>
    </xdr:from>
    <xdr:to>
      <xdr:col>10</xdr:col>
      <xdr:colOff>380344</xdr:colOff>
      <xdr:row>181</xdr:row>
      <xdr:rowOff>2268</xdr:rowOff>
    </xdr:to>
    <xdr:sp macro="" textlink="">
      <xdr:nvSpPr>
        <xdr:cNvPr id="2" name="AutoShape 1" descr="null">
          <a:extLst>
            <a:ext uri="{FF2B5EF4-FFF2-40B4-BE49-F238E27FC236}">
              <a16:creationId xmlns:a16="http://schemas.microsoft.com/office/drawing/2014/main" id="{0BF25C32-0347-B143-97E4-D3AF7264F2F8}"/>
            </a:ext>
          </a:extLst>
        </xdr:cNvPr>
        <xdr:cNvSpPr>
          <a:spLocks noChangeAspect="1" noChangeArrowheads="1"/>
        </xdr:cNvSpPr>
      </xdr:nvSpPr>
      <xdr:spPr bwMode="auto">
        <a:xfrm>
          <a:off x="6870700" y="26898600"/>
          <a:ext cx="2856844" cy="5869667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1B975-079A-8548-8193-53A75D4B29EB}">
  <dimension ref="A1:AK304"/>
  <sheetViews>
    <sheetView tabSelected="1" zoomScale="87" workbookViewId="0">
      <selection activeCell="P19" sqref="P19"/>
    </sheetView>
  </sheetViews>
  <sheetFormatPr baseColWidth="10" defaultRowHeight="14" x14ac:dyDescent="0.15"/>
  <cols>
    <col min="1" max="1" width="8" style="43" customWidth="1"/>
    <col min="2" max="2" width="5.33203125" style="37" customWidth="1"/>
    <col min="3" max="3" width="11.1640625" style="38" customWidth="1"/>
    <col min="4" max="6" width="9.1640625" style="10"/>
    <col min="7" max="7" width="8.83203125" style="37"/>
    <col min="8" max="8" width="11.6640625" style="37" customWidth="1"/>
    <col min="9" max="9" width="11.6640625" style="40" customWidth="1"/>
    <col min="10" max="10" width="9" style="37"/>
    <col min="11" max="11" width="12" style="37" customWidth="1"/>
    <col min="12" max="16384" width="10.83203125" style="1"/>
  </cols>
  <sheetData>
    <row r="1" spans="1:37" ht="60" x14ac:dyDescent="0.15">
      <c r="A1" s="42"/>
      <c r="B1" s="41" t="s">
        <v>0</v>
      </c>
      <c r="C1" s="46" t="s">
        <v>21</v>
      </c>
      <c r="D1" s="45" t="s">
        <v>1</v>
      </c>
      <c r="E1" s="45" t="s">
        <v>2</v>
      </c>
      <c r="F1" s="47" t="s">
        <v>3</v>
      </c>
      <c r="G1" s="41" t="s">
        <v>4</v>
      </c>
      <c r="H1" s="48" t="s">
        <v>20</v>
      </c>
      <c r="I1" s="48" t="s">
        <v>5</v>
      </c>
      <c r="J1" s="41" t="s">
        <v>6</v>
      </c>
      <c r="K1" s="49" t="s">
        <v>7</v>
      </c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spans="1:37" ht="16" x14ac:dyDescent="0.2">
      <c r="A2" s="50"/>
      <c r="B2" s="2">
        <v>1</v>
      </c>
      <c r="C2" s="3">
        <v>3.15</v>
      </c>
      <c r="D2" s="4">
        <v>10.465116279069758</v>
      </c>
      <c r="E2" s="4">
        <v>3.4883720930233904</v>
      </c>
      <c r="F2" s="4">
        <f t="shared" ref="F2:F65" si="0">E2/0.44</f>
        <v>7.9281183932349784</v>
      </c>
      <c r="G2" s="4">
        <v>0</v>
      </c>
      <c r="H2" s="5">
        <v>0</v>
      </c>
      <c r="I2" s="6">
        <v>0</v>
      </c>
      <c r="J2" s="6">
        <v>0</v>
      </c>
      <c r="K2" s="7">
        <v>0</v>
      </c>
      <c r="Z2"/>
      <c r="AA2"/>
      <c r="AB2"/>
      <c r="AC2"/>
      <c r="AD2"/>
      <c r="AE2"/>
      <c r="AF2"/>
      <c r="AG2"/>
      <c r="AH2"/>
      <c r="AI2"/>
      <c r="AJ2"/>
      <c r="AK2" t="s">
        <v>19</v>
      </c>
    </row>
    <row r="3" spans="1:37" x14ac:dyDescent="0.15">
      <c r="A3" s="51"/>
      <c r="B3" s="8">
        <v>2</v>
      </c>
      <c r="C3" s="9">
        <v>3.2</v>
      </c>
      <c r="D3" s="10">
        <v>9.7472924187725489</v>
      </c>
      <c r="E3" s="10">
        <v>3.9711191335739873</v>
      </c>
      <c r="F3" s="10">
        <f t="shared" si="0"/>
        <v>9.0252707581226979</v>
      </c>
      <c r="G3" s="10">
        <v>0.20719952899999999</v>
      </c>
      <c r="H3" s="11">
        <v>70.606372045220979</v>
      </c>
      <c r="I3" s="12">
        <v>0.35749999999999998</v>
      </c>
      <c r="J3" s="13">
        <f>I3*5</f>
        <v>1.7874999999999999</v>
      </c>
      <c r="K3" s="14">
        <f>J3+K2</f>
        <v>1.7874999999999999</v>
      </c>
    </row>
    <row r="4" spans="1:37" x14ac:dyDescent="0.15">
      <c r="A4" s="51"/>
      <c r="B4" s="8">
        <v>3</v>
      </c>
      <c r="C4" s="9">
        <v>3.25</v>
      </c>
      <c r="D4" s="10">
        <v>9.5238095238095273</v>
      </c>
      <c r="E4" s="10">
        <v>4.3650793650794109</v>
      </c>
      <c r="F4" s="10">
        <f t="shared" si="0"/>
        <v>9.9206349206350239</v>
      </c>
      <c r="G4" s="10">
        <v>0.19146922650000001</v>
      </c>
      <c r="H4" s="11">
        <v>70.601589103291715</v>
      </c>
      <c r="I4" s="12">
        <v>0.37</v>
      </c>
      <c r="J4" s="13">
        <f t="shared" ref="J4:J67" si="1">I4*5</f>
        <v>1.85</v>
      </c>
      <c r="K4" s="14">
        <f t="shared" ref="K4:K67" si="2">J4+K3</f>
        <v>3.6375000000000002</v>
      </c>
    </row>
    <row r="5" spans="1:37" x14ac:dyDescent="0.15">
      <c r="A5" s="51"/>
      <c r="B5" s="8">
        <v>4</v>
      </c>
      <c r="C5" s="9">
        <v>3.3</v>
      </c>
      <c r="D5" s="10">
        <v>10.096153846153886</v>
      </c>
      <c r="E5" s="10">
        <v>4.8076923076922053</v>
      </c>
      <c r="F5" s="10">
        <f t="shared" si="0"/>
        <v>10.926573426573194</v>
      </c>
      <c r="G5" s="10">
        <v>0.19505175975</v>
      </c>
      <c r="H5" s="11">
        <v>73.838630806845956</v>
      </c>
      <c r="I5" s="12">
        <v>0.305714286</v>
      </c>
      <c r="J5" s="13">
        <f t="shared" si="1"/>
        <v>1.52857143</v>
      </c>
      <c r="K5" s="14">
        <f t="shared" si="2"/>
        <v>5.1660714300000006</v>
      </c>
    </row>
    <row r="6" spans="1:37" x14ac:dyDescent="0.15">
      <c r="A6" s="51"/>
      <c r="B6" s="8">
        <v>5</v>
      </c>
      <c r="C6" s="9">
        <v>3.35</v>
      </c>
      <c r="D6" s="10">
        <v>8.8967971530249095</v>
      </c>
      <c r="E6" s="10">
        <v>2.1352313167259327</v>
      </c>
      <c r="F6" s="10">
        <f t="shared" si="0"/>
        <v>4.8527984471043926</v>
      </c>
      <c r="G6" s="10">
        <v>0.21596857324999999</v>
      </c>
      <c r="H6" s="11">
        <v>69.523809523809518</v>
      </c>
      <c r="I6" s="12">
        <v>0.36</v>
      </c>
      <c r="J6" s="13">
        <f t="shared" si="1"/>
        <v>1.7999999999999998</v>
      </c>
      <c r="K6" s="14">
        <f t="shared" si="2"/>
        <v>6.9660714300000004</v>
      </c>
    </row>
    <row r="7" spans="1:37" x14ac:dyDescent="0.15">
      <c r="A7" s="51"/>
      <c r="B7" s="8">
        <v>6</v>
      </c>
      <c r="C7" s="9">
        <v>3.4</v>
      </c>
      <c r="D7" s="10">
        <v>8.333333333333405</v>
      </c>
      <c r="E7" s="10">
        <v>2.4305555555555665</v>
      </c>
      <c r="F7" s="10">
        <f t="shared" si="0"/>
        <v>5.5239898989899237</v>
      </c>
      <c r="G7" s="10">
        <v>0.20234904825</v>
      </c>
      <c r="H7" s="11">
        <v>66.515323496027236</v>
      </c>
      <c r="I7" s="12">
        <v>0.42142857099999997</v>
      </c>
      <c r="J7" s="13">
        <f t="shared" si="1"/>
        <v>2.1071428549999998</v>
      </c>
      <c r="K7" s="14">
        <f t="shared" si="2"/>
        <v>9.0732142850000006</v>
      </c>
    </row>
    <row r="8" spans="1:37" x14ac:dyDescent="0.15">
      <c r="A8" s="51"/>
      <c r="B8" s="8">
        <v>7</v>
      </c>
      <c r="C8" s="9">
        <v>3.45</v>
      </c>
      <c r="D8" s="10">
        <v>7.1428571428571326</v>
      </c>
      <c r="E8" s="10">
        <v>2.3809523809523778</v>
      </c>
      <c r="F8" s="10">
        <f t="shared" si="0"/>
        <v>5.4112554112554045</v>
      </c>
      <c r="G8" s="10">
        <v>0.19900372699999999</v>
      </c>
      <c r="H8" s="11">
        <v>62.475633528265114</v>
      </c>
      <c r="I8" s="12">
        <v>0.48125000000000001</v>
      </c>
      <c r="J8" s="13">
        <f t="shared" si="1"/>
        <v>2.40625</v>
      </c>
      <c r="K8" s="14">
        <f t="shared" si="2"/>
        <v>11.479464285000001</v>
      </c>
    </row>
    <row r="9" spans="1:37" x14ac:dyDescent="0.15">
      <c r="A9" s="51"/>
      <c r="B9" s="8">
        <v>8</v>
      </c>
      <c r="C9" s="9">
        <v>3.5</v>
      </c>
      <c r="D9" s="10">
        <v>7.9096045197739455</v>
      </c>
      <c r="E9" s="10">
        <v>1.9774011299435112</v>
      </c>
      <c r="F9" s="10">
        <f t="shared" si="0"/>
        <v>4.4940934771443439</v>
      </c>
      <c r="G9" s="10">
        <v>0.20003625850000001</v>
      </c>
      <c r="H9" s="11">
        <v>63.508064516129039</v>
      </c>
      <c r="I9" s="12">
        <v>0.45250000000000001</v>
      </c>
      <c r="J9" s="13">
        <f t="shared" si="1"/>
        <v>2.2625000000000002</v>
      </c>
      <c r="K9" s="14">
        <f t="shared" si="2"/>
        <v>13.741964285000002</v>
      </c>
    </row>
    <row r="10" spans="1:37" x14ac:dyDescent="0.15">
      <c r="A10" s="51"/>
      <c r="B10" s="8">
        <v>9</v>
      </c>
      <c r="C10" s="9">
        <v>3.55</v>
      </c>
      <c r="D10" s="10">
        <v>7.4999999999999902</v>
      </c>
      <c r="E10" s="10">
        <v>1.8749999999999976</v>
      </c>
      <c r="F10" s="10">
        <f t="shared" si="0"/>
        <v>4.2613636363636305</v>
      </c>
      <c r="G10" s="10">
        <v>0.20013156474999999</v>
      </c>
      <c r="H10" s="11">
        <v>61.878881987577635</v>
      </c>
      <c r="I10" s="12">
        <v>0.49099999999999999</v>
      </c>
      <c r="J10" s="13">
        <f t="shared" si="1"/>
        <v>2.4550000000000001</v>
      </c>
      <c r="K10" s="14">
        <f t="shared" si="2"/>
        <v>16.196964285</v>
      </c>
    </row>
    <row r="11" spans="1:37" x14ac:dyDescent="0.15">
      <c r="A11" s="51"/>
      <c r="B11" s="8">
        <v>10</v>
      </c>
      <c r="C11" s="9">
        <v>3.6</v>
      </c>
      <c r="D11" s="10">
        <v>7.4398249452954008</v>
      </c>
      <c r="E11" s="10">
        <v>1.9693654266958391</v>
      </c>
      <c r="F11" s="10">
        <f t="shared" si="0"/>
        <v>4.4758305152178162</v>
      </c>
      <c r="G11" s="10">
        <v>0.19533039299999999</v>
      </c>
      <c r="H11" s="11">
        <v>61.614497528830306</v>
      </c>
      <c r="I11" s="12">
        <v>0.58250000000000002</v>
      </c>
      <c r="J11" s="13">
        <f t="shared" si="1"/>
        <v>2.9125000000000001</v>
      </c>
      <c r="K11" s="14">
        <f t="shared" si="2"/>
        <v>19.109464285000001</v>
      </c>
    </row>
    <row r="12" spans="1:37" x14ac:dyDescent="0.15">
      <c r="A12" s="52"/>
      <c r="B12" s="15">
        <v>11</v>
      </c>
      <c r="C12" s="16">
        <v>3.65</v>
      </c>
      <c r="D12" s="17">
        <v>8.2452431289639989</v>
      </c>
      <c r="E12" s="17">
        <v>1.9027484143763189</v>
      </c>
      <c r="F12" s="17">
        <f t="shared" si="0"/>
        <v>4.3244282144916335</v>
      </c>
      <c r="G12" s="17">
        <v>0.18872763875000001</v>
      </c>
      <c r="H12" s="18">
        <v>62.519319938176196</v>
      </c>
      <c r="I12" s="19">
        <v>0.48499999999999999</v>
      </c>
      <c r="J12" s="20">
        <f t="shared" si="1"/>
        <v>2.4249999999999998</v>
      </c>
      <c r="K12" s="21">
        <f t="shared" si="2"/>
        <v>21.534464285000002</v>
      </c>
    </row>
    <row r="13" spans="1:37" x14ac:dyDescent="0.15">
      <c r="A13" s="50"/>
      <c r="B13" s="2">
        <v>12</v>
      </c>
      <c r="C13" s="3">
        <v>3.7</v>
      </c>
      <c r="D13" s="4">
        <v>9.6385542168674778</v>
      </c>
      <c r="E13" s="4">
        <v>1.807228915662612</v>
      </c>
      <c r="F13" s="4">
        <f t="shared" si="0"/>
        <v>4.1073384446877546</v>
      </c>
      <c r="G13" s="4">
        <v>0.1768252575</v>
      </c>
      <c r="H13" s="22">
        <v>65.314401622718051</v>
      </c>
      <c r="I13" s="23">
        <v>0.42749999999999999</v>
      </c>
      <c r="J13" s="24">
        <f t="shared" si="1"/>
        <v>2.1375000000000002</v>
      </c>
      <c r="K13" s="25">
        <f t="shared" si="2"/>
        <v>23.671964285000001</v>
      </c>
    </row>
    <row r="14" spans="1:37" x14ac:dyDescent="0.15">
      <c r="A14" s="51"/>
      <c r="B14" s="8">
        <v>13</v>
      </c>
      <c r="C14" s="9">
        <v>3.75</v>
      </c>
      <c r="D14" s="10">
        <v>12.676056338028152</v>
      </c>
      <c r="E14" s="10">
        <v>2.2535211267606163</v>
      </c>
      <c r="F14" s="10">
        <f t="shared" si="0"/>
        <v>5.1216389244559464</v>
      </c>
      <c r="G14" s="10">
        <v>0.19862823624999998</v>
      </c>
      <c r="H14" s="11">
        <v>69.901315789473685</v>
      </c>
      <c r="I14" s="12">
        <v>0.36599999999999999</v>
      </c>
      <c r="J14" s="13">
        <f t="shared" si="1"/>
        <v>1.83</v>
      </c>
      <c r="K14" s="14">
        <f t="shared" si="2"/>
        <v>25.501964285</v>
      </c>
    </row>
    <row r="15" spans="1:37" x14ac:dyDescent="0.15">
      <c r="A15" s="51"/>
      <c r="B15" s="8">
        <v>14</v>
      </c>
      <c r="C15" s="9">
        <v>3.8</v>
      </c>
      <c r="D15" s="10">
        <v>16.556291390728468</v>
      </c>
      <c r="E15" s="10">
        <v>2.6490066225166164</v>
      </c>
      <c r="F15" s="10">
        <f t="shared" si="0"/>
        <v>6.0204695966286739</v>
      </c>
      <c r="G15" s="10">
        <v>0.15627197474999999</v>
      </c>
      <c r="H15" s="11">
        <v>73.126614987080103</v>
      </c>
      <c r="I15" s="12">
        <v>0.312</v>
      </c>
      <c r="J15" s="13">
        <f t="shared" si="1"/>
        <v>1.56</v>
      </c>
      <c r="K15" s="14">
        <f t="shared" si="2"/>
        <v>27.061964284999998</v>
      </c>
    </row>
    <row r="16" spans="1:37" x14ac:dyDescent="0.15">
      <c r="A16" s="51"/>
      <c r="B16" s="8">
        <v>15</v>
      </c>
      <c r="C16" s="9">
        <v>3.85</v>
      </c>
      <c r="D16" s="10">
        <v>19.78021978021976</v>
      </c>
      <c r="E16" s="10">
        <v>2.9304029304029346</v>
      </c>
      <c r="F16" s="10">
        <f t="shared" si="0"/>
        <v>6.6600066600066699</v>
      </c>
      <c r="G16" s="10">
        <v>7.5915849450000003E-2</v>
      </c>
      <c r="H16" s="11">
        <v>75.131348511383521</v>
      </c>
      <c r="I16" s="12">
        <v>0.28399999999999997</v>
      </c>
      <c r="J16" s="13">
        <f t="shared" si="1"/>
        <v>1.42</v>
      </c>
      <c r="K16" s="14">
        <f t="shared" si="2"/>
        <v>28.481964284999997</v>
      </c>
    </row>
    <row r="17" spans="1:11" x14ac:dyDescent="0.15">
      <c r="A17" s="51"/>
      <c r="B17" s="8">
        <v>16</v>
      </c>
      <c r="C17" s="9">
        <v>3.9</v>
      </c>
      <c r="D17" s="10">
        <v>21.848739495798313</v>
      </c>
      <c r="E17" s="10">
        <v>2.5210084033612921</v>
      </c>
      <c r="F17" s="10">
        <f t="shared" si="0"/>
        <v>5.7295645530938453</v>
      </c>
      <c r="G17" s="10">
        <v>6.3737184899999993E-2</v>
      </c>
      <c r="H17" s="11">
        <v>77.32240437158471</v>
      </c>
      <c r="I17" s="12">
        <v>0.249</v>
      </c>
      <c r="J17" s="13">
        <f t="shared" si="1"/>
        <v>1.2450000000000001</v>
      </c>
      <c r="K17" s="14">
        <f t="shared" si="2"/>
        <v>29.726964284999998</v>
      </c>
    </row>
    <row r="18" spans="1:11" x14ac:dyDescent="0.15">
      <c r="A18" s="51"/>
      <c r="B18" s="8">
        <v>17</v>
      </c>
      <c r="C18" s="9">
        <v>3.95</v>
      </c>
      <c r="D18" s="10">
        <v>23.109243697479016</v>
      </c>
      <c r="E18" s="10">
        <v>2.9411764705882462</v>
      </c>
      <c r="F18" s="10">
        <f t="shared" si="0"/>
        <v>6.6844919786096506</v>
      </c>
      <c r="G18" s="10">
        <v>6.0915670249999998E-2</v>
      </c>
      <c r="H18" s="11">
        <v>77.718360071301248</v>
      </c>
      <c r="I18" s="12">
        <v>0.25</v>
      </c>
      <c r="J18" s="13">
        <f t="shared" si="1"/>
        <v>1.25</v>
      </c>
      <c r="K18" s="14">
        <f t="shared" si="2"/>
        <v>30.976964284999998</v>
      </c>
    </row>
    <row r="19" spans="1:11" x14ac:dyDescent="0.15">
      <c r="A19" s="51"/>
      <c r="B19" s="8">
        <v>18</v>
      </c>
      <c r="C19" s="26">
        <v>4</v>
      </c>
      <c r="D19" s="10">
        <v>22.978723404255302</v>
      </c>
      <c r="E19" s="10">
        <v>2.9787234042553337</v>
      </c>
      <c r="F19" s="10">
        <f t="shared" si="0"/>
        <v>6.7698259187621224</v>
      </c>
      <c r="G19" s="10">
        <v>6.4287615625000002E-2</v>
      </c>
      <c r="H19" s="11">
        <v>77.399103139013462</v>
      </c>
      <c r="I19" s="12">
        <v>0.252</v>
      </c>
      <c r="J19" s="13">
        <f t="shared" si="1"/>
        <v>1.26</v>
      </c>
      <c r="K19" s="14">
        <f t="shared" si="2"/>
        <v>32.236964284999999</v>
      </c>
    </row>
    <row r="20" spans="1:11" x14ac:dyDescent="0.15">
      <c r="A20" s="51"/>
      <c r="B20" s="8">
        <v>19</v>
      </c>
      <c r="C20" s="9">
        <v>4.05</v>
      </c>
      <c r="D20" s="10">
        <v>22.831050228310488</v>
      </c>
      <c r="E20" s="10">
        <v>2.7397260273973623</v>
      </c>
      <c r="F20" s="10">
        <f t="shared" si="0"/>
        <v>6.2266500622667325</v>
      </c>
      <c r="G20" s="10">
        <v>6.5338321749999997E-2</v>
      </c>
      <c r="H20" s="11">
        <v>78.703703703703695</v>
      </c>
      <c r="I20" s="12">
        <v>0.23</v>
      </c>
      <c r="J20" s="13">
        <f t="shared" si="1"/>
        <v>1.1500000000000001</v>
      </c>
      <c r="K20" s="14">
        <f t="shared" si="2"/>
        <v>33.386964284999998</v>
      </c>
    </row>
    <row r="21" spans="1:11" x14ac:dyDescent="0.15">
      <c r="A21" s="51"/>
      <c r="B21" s="8">
        <v>20</v>
      </c>
      <c r="C21" s="9">
        <v>4.0999999999999996</v>
      </c>
      <c r="D21" s="10">
        <v>20.802919708029204</v>
      </c>
      <c r="E21" s="10">
        <v>2.5547445255474552</v>
      </c>
      <c r="F21" s="10">
        <f t="shared" si="0"/>
        <v>5.8062375580623984</v>
      </c>
      <c r="G21" s="10">
        <v>6.8145323499999993E-2</v>
      </c>
      <c r="H21" s="11">
        <v>75.043478260869563</v>
      </c>
      <c r="I21" s="12">
        <v>0.28699999999999998</v>
      </c>
      <c r="J21" s="13">
        <f t="shared" si="1"/>
        <v>1.4349999999999998</v>
      </c>
      <c r="K21" s="14">
        <f t="shared" si="2"/>
        <v>34.821964285</v>
      </c>
    </row>
    <row r="22" spans="1:11" x14ac:dyDescent="0.15">
      <c r="A22" s="51"/>
      <c r="B22" s="8">
        <v>21</v>
      </c>
      <c r="C22" s="9">
        <v>4.1500000000000004</v>
      </c>
      <c r="D22" s="10">
        <v>22.540983606557266</v>
      </c>
      <c r="E22" s="10">
        <v>2.8688524590164057</v>
      </c>
      <c r="F22" s="10">
        <f t="shared" si="0"/>
        <v>6.5201192250372859</v>
      </c>
      <c r="G22" s="10">
        <v>5.9796911350000002E-2</v>
      </c>
      <c r="H22" s="11">
        <v>78.084555651423642</v>
      </c>
      <c r="I22" s="12">
        <v>0.254</v>
      </c>
      <c r="J22" s="13">
        <f t="shared" si="1"/>
        <v>1.27</v>
      </c>
      <c r="K22" s="14">
        <f t="shared" si="2"/>
        <v>36.091964285000003</v>
      </c>
    </row>
    <row r="23" spans="1:11" x14ac:dyDescent="0.15">
      <c r="A23" s="51"/>
      <c r="B23" s="8">
        <v>22</v>
      </c>
      <c r="C23" s="9">
        <v>4.2</v>
      </c>
      <c r="D23" s="10">
        <v>22.047244094488146</v>
      </c>
      <c r="E23" s="10">
        <v>2.3622047244095388</v>
      </c>
      <c r="F23" s="10">
        <f t="shared" si="0"/>
        <v>5.3686471009307697</v>
      </c>
      <c r="G23" s="10">
        <v>5.9767555925000007E-2</v>
      </c>
      <c r="H23" s="11">
        <v>77.625960717335616</v>
      </c>
      <c r="I23" s="12">
        <v>0.26200000000000001</v>
      </c>
      <c r="J23" s="13">
        <f t="shared" si="1"/>
        <v>1.31</v>
      </c>
      <c r="K23" s="14">
        <f t="shared" si="2"/>
        <v>37.401964285000005</v>
      </c>
    </row>
    <row r="24" spans="1:11" x14ac:dyDescent="0.15">
      <c r="A24" s="51"/>
      <c r="B24" s="8">
        <v>23</v>
      </c>
      <c r="C24" s="9">
        <v>4.25</v>
      </c>
      <c r="D24" s="10">
        <v>19.708029197080272</v>
      </c>
      <c r="E24" s="10">
        <v>2.9197080291970199</v>
      </c>
      <c r="F24" s="10">
        <f t="shared" si="0"/>
        <v>6.635700066356863</v>
      </c>
      <c r="G24" s="10">
        <v>7.4614943249999996E-2</v>
      </c>
      <c r="H24" s="11">
        <v>75.972927241962779</v>
      </c>
      <c r="I24" s="12">
        <v>0.28399999999999997</v>
      </c>
      <c r="J24" s="13">
        <f t="shared" si="1"/>
        <v>1.42</v>
      </c>
      <c r="K24" s="14">
        <f t="shared" si="2"/>
        <v>38.821964285000007</v>
      </c>
    </row>
    <row r="25" spans="1:11" x14ac:dyDescent="0.15">
      <c r="A25" s="51"/>
      <c r="B25" s="8">
        <v>24</v>
      </c>
      <c r="C25" s="9">
        <v>4.3</v>
      </c>
      <c r="D25" s="10">
        <v>18.352059925093695</v>
      </c>
      <c r="E25" s="10">
        <v>2.6217228464419562</v>
      </c>
      <c r="F25" s="10">
        <f t="shared" si="0"/>
        <v>5.9584610146408092</v>
      </c>
      <c r="G25" s="10">
        <v>7.9900142874999996E-2</v>
      </c>
      <c r="H25" s="11">
        <v>75.421472937000885</v>
      </c>
      <c r="I25" s="12">
        <v>0.27700000000000002</v>
      </c>
      <c r="J25" s="13">
        <f t="shared" si="1"/>
        <v>1.3850000000000002</v>
      </c>
      <c r="K25" s="14">
        <f t="shared" si="2"/>
        <v>40.206964285000005</v>
      </c>
    </row>
    <row r="26" spans="1:11" x14ac:dyDescent="0.15">
      <c r="A26" s="51"/>
      <c r="B26" s="8">
        <v>25</v>
      </c>
      <c r="C26" s="9">
        <v>4.3499999999999996</v>
      </c>
      <c r="D26" s="10">
        <v>17.89473684210531</v>
      </c>
      <c r="E26" s="10">
        <v>3.1578947368420982</v>
      </c>
      <c r="F26" s="10">
        <f t="shared" si="0"/>
        <v>7.1770334928229502</v>
      </c>
      <c r="G26" s="10">
        <v>8.8924181699999993E-2</v>
      </c>
      <c r="H26" s="11">
        <v>75.601659751037346</v>
      </c>
      <c r="I26" s="12">
        <v>0.29399999999999998</v>
      </c>
      <c r="J26" s="13">
        <f t="shared" si="1"/>
        <v>1.47</v>
      </c>
      <c r="K26" s="14">
        <f t="shared" si="2"/>
        <v>41.676964285000004</v>
      </c>
    </row>
    <row r="27" spans="1:11" x14ac:dyDescent="0.15">
      <c r="A27" s="51"/>
      <c r="B27" s="8">
        <v>26</v>
      </c>
      <c r="C27" s="9">
        <v>4.4000000000000004</v>
      </c>
      <c r="D27" s="10">
        <v>17.424242424242454</v>
      </c>
      <c r="E27" s="10">
        <v>3.030303030302965</v>
      </c>
      <c r="F27" s="10">
        <f t="shared" si="0"/>
        <v>6.8870523415976477</v>
      </c>
      <c r="G27" s="10">
        <v>8.5880337225000006E-2</v>
      </c>
      <c r="H27" s="11">
        <v>76.111595466434181</v>
      </c>
      <c r="I27" s="12">
        <v>0.27400000000000002</v>
      </c>
      <c r="J27" s="13">
        <f t="shared" si="1"/>
        <v>1.37</v>
      </c>
      <c r="K27" s="14">
        <f t="shared" si="2"/>
        <v>43.046964285000001</v>
      </c>
    </row>
    <row r="28" spans="1:11" x14ac:dyDescent="0.15">
      <c r="A28" s="51"/>
      <c r="B28" s="8">
        <v>27</v>
      </c>
      <c r="C28" s="9">
        <v>4.45</v>
      </c>
      <c r="D28" s="10">
        <v>17.829457364341106</v>
      </c>
      <c r="E28" s="10">
        <v>3.4883720930232482</v>
      </c>
      <c r="F28" s="10">
        <f t="shared" si="0"/>
        <v>7.9281183932346551</v>
      </c>
      <c r="G28" s="10">
        <v>8.5853851824999994E-2</v>
      </c>
      <c r="H28" s="11">
        <v>76.655052264808361</v>
      </c>
      <c r="I28" s="12">
        <v>0.26800000000000002</v>
      </c>
      <c r="J28" s="13">
        <f t="shared" si="1"/>
        <v>1.34</v>
      </c>
      <c r="K28" s="14">
        <f t="shared" si="2"/>
        <v>44.386964285000005</v>
      </c>
    </row>
    <row r="29" spans="1:11" x14ac:dyDescent="0.15">
      <c r="A29" s="51"/>
      <c r="B29" s="8">
        <v>28</v>
      </c>
      <c r="C29" s="26">
        <v>4.5</v>
      </c>
      <c r="D29" s="10">
        <v>18.181818181818194</v>
      </c>
      <c r="E29" s="10">
        <v>3.4090909090909034</v>
      </c>
      <c r="F29" s="10">
        <f t="shared" si="0"/>
        <v>7.7479338842975078</v>
      </c>
      <c r="G29" s="10">
        <v>8.6682682049999987E-2</v>
      </c>
      <c r="H29" s="11">
        <v>75.752212389380531</v>
      </c>
      <c r="I29" s="12">
        <v>0.27400000000000002</v>
      </c>
      <c r="J29" s="13">
        <f t="shared" si="1"/>
        <v>1.37</v>
      </c>
      <c r="K29" s="14">
        <f t="shared" si="2"/>
        <v>45.756964285000002</v>
      </c>
    </row>
    <row r="30" spans="1:11" x14ac:dyDescent="0.15">
      <c r="A30" s="51"/>
      <c r="B30" s="8">
        <v>29</v>
      </c>
      <c r="C30" s="9">
        <v>4.55</v>
      </c>
      <c r="D30" s="10">
        <v>17.730496453900695</v>
      </c>
      <c r="E30" s="10">
        <v>3.54609929078019</v>
      </c>
      <c r="F30" s="10">
        <f t="shared" si="0"/>
        <v>8.0593165699549765</v>
      </c>
      <c r="G30" s="10">
        <v>9.2009944425000004E-2</v>
      </c>
      <c r="H30" s="11">
        <v>75.729774812343621</v>
      </c>
      <c r="I30" s="12">
        <v>0.29099999999999998</v>
      </c>
      <c r="J30" s="13">
        <f t="shared" si="1"/>
        <v>1.4549999999999998</v>
      </c>
      <c r="K30" s="14">
        <f t="shared" si="2"/>
        <v>47.211964285000001</v>
      </c>
    </row>
    <row r="31" spans="1:11" x14ac:dyDescent="0.15">
      <c r="A31" s="51"/>
      <c r="B31" s="8">
        <v>30</v>
      </c>
      <c r="C31" s="9">
        <v>4.5999999999999996</v>
      </c>
      <c r="D31" s="10">
        <v>17.081850533807842</v>
      </c>
      <c r="E31" s="10">
        <v>3.2028469750889625</v>
      </c>
      <c r="F31" s="10">
        <f t="shared" si="0"/>
        <v>7.2791976706567327</v>
      </c>
      <c r="G31" s="10">
        <v>9.5451477724999997E-2</v>
      </c>
      <c r="H31" s="11">
        <v>74.716652136006985</v>
      </c>
      <c r="I31" s="12">
        <v>0.28999999999999998</v>
      </c>
      <c r="J31" s="13">
        <f t="shared" si="1"/>
        <v>1.45</v>
      </c>
      <c r="K31" s="14">
        <f t="shared" si="2"/>
        <v>48.661964285000003</v>
      </c>
    </row>
    <row r="32" spans="1:11" x14ac:dyDescent="0.15">
      <c r="A32" s="51"/>
      <c r="B32" s="8">
        <v>31</v>
      </c>
      <c r="C32" s="9">
        <v>4.6500000000000004</v>
      </c>
      <c r="D32" s="10">
        <v>16.271186440677983</v>
      </c>
      <c r="E32" s="10">
        <v>2.7118644067796036</v>
      </c>
      <c r="F32" s="10">
        <f t="shared" si="0"/>
        <v>6.163328197226372</v>
      </c>
      <c r="G32" s="10">
        <v>9.9889149749999989E-2</v>
      </c>
      <c r="H32" s="11">
        <v>73.8382099827883</v>
      </c>
      <c r="I32" s="12">
        <v>0.30399999999999999</v>
      </c>
      <c r="J32" s="13">
        <f t="shared" si="1"/>
        <v>1.52</v>
      </c>
      <c r="K32" s="14">
        <f t="shared" si="2"/>
        <v>50.181964285000006</v>
      </c>
    </row>
    <row r="33" spans="1:11" x14ac:dyDescent="0.15">
      <c r="A33" s="51"/>
      <c r="B33" s="8">
        <v>32</v>
      </c>
      <c r="C33" s="9">
        <v>4.7</v>
      </c>
      <c r="D33" s="10">
        <v>15.937500000000043</v>
      </c>
      <c r="E33" s="10">
        <v>3.1249999999999325</v>
      </c>
      <c r="F33" s="10">
        <f t="shared" si="0"/>
        <v>7.1022727272725739</v>
      </c>
      <c r="G33" s="10">
        <v>9.9937007624999991E-2</v>
      </c>
      <c r="H33" s="11">
        <v>72.832369942196522</v>
      </c>
      <c r="I33" s="12">
        <v>0.32900000000000001</v>
      </c>
      <c r="J33" s="13">
        <f t="shared" si="1"/>
        <v>1.645</v>
      </c>
      <c r="K33" s="14">
        <f t="shared" si="2"/>
        <v>51.82696428500001</v>
      </c>
    </row>
    <row r="34" spans="1:11" x14ac:dyDescent="0.15">
      <c r="A34" s="51"/>
      <c r="B34" s="8">
        <v>33</v>
      </c>
      <c r="C34" s="9">
        <v>4.75</v>
      </c>
      <c r="D34" s="10">
        <v>15.894039735099344</v>
      </c>
      <c r="E34" s="10">
        <v>2.9801324503311197</v>
      </c>
      <c r="F34" s="10">
        <f t="shared" si="0"/>
        <v>6.77302829620709</v>
      </c>
      <c r="G34" s="10">
        <v>0.1037942615</v>
      </c>
      <c r="H34" s="11">
        <v>73.412362404741742</v>
      </c>
      <c r="I34" s="12">
        <v>0.314</v>
      </c>
      <c r="J34" s="13">
        <f t="shared" si="1"/>
        <v>1.57</v>
      </c>
      <c r="K34" s="14">
        <f t="shared" si="2"/>
        <v>53.39696428500001</v>
      </c>
    </row>
    <row r="35" spans="1:11" x14ac:dyDescent="0.15">
      <c r="A35" s="51"/>
      <c r="B35" s="8">
        <v>34</v>
      </c>
      <c r="C35" s="9">
        <v>4.8</v>
      </c>
      <c r="D35" s="10">
        <v>16.262975778546682</v>
      </c>
      <c r="E35" s="10">
        <v>3.1141868512110689</v>
      </c>
      <c r="F35" s="10">
        <f t="shared" si="0"/>
        <v>7.0776973891160653</v>
      </c>
      <c r="G35" s="10">
        <v>0.1055070298</v>
      </c>
      <c r="H35" s="11">
        <v>74.703891708967859</v>
      </c>
      <c r="I35" s="12">
        <v>0.29899999999999999</v>
      </c>
      <c r="J35" s="13">
        <f t="shared" si="1"/>
        <v>1.4949999999999999</v>
      </c>
      <c r="K35" s="14">
        <f t="shared" si="2"/>
        <v>54.891964285000007</v>
      </c>
    </row>
    <row r="36" spans="1:11" x14ac:dyDescent="0.15">
      <c r="A36" s="51"/>
      <c r="B36" s="8">
        <v>35</v>
      </c>
      <c r="C36" s="9">
        <v>4.8499999999999996</v>
      </c>
      <c r="D36" s="10">
        <v>16.666666666666679</v>
      </c>
      <c r="E36" s="10">
        <v>3.1249999999999942</v>
      </c>
      <c r="F36" s="10">
        <f t="shared" si="0"/>
        <v>7.1022727272727142</v>
      </c>
      <c r="G36" s="10">
        <v>0.10649784025</v>
      </c>
      <c r="H36" s="11">
        <v>74.307958477508635</v>
      </c>
      <c r="I36" s="12">
        <v>0.29699999999999999</v>
      </c>
      <c r="J36" s="13">
        <f t="shared" si="1"/>
        <v>1.4849999999999999</v>
      </c>
      <c r="K36" s="14">
        <f t="shared" si="2"/>
        <v>56.376964285000007</v>
      </c>
    </row>
    <row r="37" spans="1:11" x14ac:dyDescent="0.15">
      <c r="A37" s="51"/>
      <c r="B37" s="8">
        <v>36</v>
      </c>
      <c r="C37" s="9">
        <v>4.9000000000000004</v>
      </c>
      <c r="D37" s="10">
        <v>16.363636363636338</v>
      </c>
      <c r="E37" s="10">
        <v>2.5454545454545561</v>
      </c>
      <c r="F37" s="10">
        <f t="shared" si="0"/>
        <v>5.785123966942173</v>
      </c>
      <c r="G37" s="10">
        <v>9.9733220258646324E-2</v>
      </c>
      <c r="H37" s="11">
        <v>74.161378059836807</v>
      </c>
      <c r="I37" s="12">
        <v>0.28499999999999998</v>
      </c>
      <c r="J37" s="13">
        <f t="shared" si="1"/>
        <v>1.4249999999999998</v>
      </c>
      <c r="K37" s="14">
        <f t="shared" si="2"/>
        <v>57.801964285000004</v>
      </c>
    </row>
    <row r="38" spans="1:11" x14ac:dyDescent="0.15">
      <c r="A38" s="51"/>
      <c r="B38" s="8">
        <v>37</v>
      </c>
      <c r="C38" s="9">
        <v>4.95</v>
      </c>
      <c r="D38" s="10">
        <v>16.225165562913858</v>
      </c>
      <c r="E38" s="10">
        <v>2.9801324503311215</v>
      </c>
      <c r="F38" s="10">
        <f t="shared" si="0"/>
        <v>6.7730282962070945</v>
      </c>
      <c r="G38" s="10">
        <v>0.1116579609935445</v>
      </c>
      <c r="H38" s="11">
        <v>73.536895674300254</v>
      </c>
      <c r="I38" s="12">
        <v>0.312</v>
      </c>
      <c r="J38" s="13">
        <f t="shared" si="1"/>
        <v>1.56</v>
      </c>
      <c r="K38" s="14">
        <f t="shared" si="2"/>
        <v>59.361964285000006</v>
      </c>
    </row>
    <row r="39" spans="1:11" x14ac:dyDescent="0.15">
      <c r="A39" s="51"/>
      <c r="B39" s="8">
        <v>38</v>
      </c>
      <c r="C39" s="9">
        <v>5</v>
      </c>
      <c r="D39" s="10">
        <v>18.83561643835608</v>
      </c>
      <c r="E39" s="10">
        <v>3.0821917808220367</v>
      </c>
      <c r="F39" s="10">
        <f t="shared" si="0"/>
        <v>7.0049813200500832</v>
      </c>
      <c r="G39" s="10">
        <v>0.12245741776444999</v>
      </c>
      <c r="H39" s="11">
        <v>75.801282051282044</v>
      </c>
      <c r="I39" s="12">
        <v>0.30199999999999999</v>
      </c>
      <c r="J39" s="13">
        <f t="shared" si="1"/>
        <v>1.51</v>
      </c>
      <c r="K39" s="14">
        <f t="shared" si="2"/>
        <v>60.871964285000004</v>
      </c>
    </row>
    <row r="40" spans="1:11" x14ac:dyDescent="0.15">
      <c r="A40" s="51"/>
      <c r="B40" s="8">
        <v>39</v>
      </c>
      <c r="C40" s="9">
        <v>5.05</v>
      </c>
      <c r="D40" s="10">
        <v>18.726591760299613</v>
      </c>
      <c r="E40" s="10">
        <v>2.9962546816480073</v>
      </c>
      <c r="F40" s="10">
        <f t="shared" si="0"/>
        <v>6.8096697310181984</v>
      </c>
      <c r="G40" s="10">
        <v>0.11513795421316475</v>
      </c>
      <c r="H40" s="11">
        <v>75.659050966608078</v>
      </c>
      <c r="I40" s="12">
        <v>0.27700000000000002</v>
      </c>
      <c r="J40" s="13">
        <f t="shared" si="1"/>
        <v>1.3850000000000002</v>
      </c>
      <c r="K40" s="14">
        <f t="shared" si="2"/>
        <v>62.256964285000002</v>
      </c>
    </row>
    <row r="41" spans="1:11" x14ac:dyDescent="0.15">
      <c r="A41" s="51"/>
      <c r="B41" s="8">
        <v>40</v>
      </c>
      <c r="C41" s="9">
        <v>5.0999999999999988</v>
      </c>
      <c r="D41" s="10">
        <v>19.354838709677395</v>
      </c>
      <c r="E41" s="10">
        <v>4.3010752688172413</v>
      </c>
      <c r="F41" s="10">
        <f t="shared" si="0"/>
        <v>9.7751710654937298</v>
      </c>
      <c r="G41" s="10">
        <v>8.6659941974999988E-2</v>
      </c>
      <c r="H41" s="11">
        <v>75.618073316283017</v>
      </c>
      <c r="I41" s="12">
        <v>0.28599999999999998</v>
      </c>
      <c r="J41" s="13">
        <f t="shared" si="1"/>
        <v>1.43</v>
      </c>
      <c r="K41" s="14">
        <f t="shared" si="2"/>
        <v>63.686964285000002</v>
      </c>
    </row>
    <row r="42" spans="1:11" x14ac:dyDescent="0.15">
      <c r="A42" s="51"/>
      <c r="B42" s="8">
        <v>41</v>
      </c>
      <c r="C42" s="9">
        <v>5.1499999999999977</v>
      </c>
      <c r="D42" s="10">
        <v>19.784172661870532</v>
      </c>
      <c r="E42" s="10">
        <v>3.956834532374081</v>
      </c>
      <c r="F42" s="10">
        <f t="shared" si="0"/>
        <v>8.9928057553956382</v>
      </c>
      <c r="G42" s="10">
        <v>8.928290794999999E-2</v>
      </c>
      <c r="H42" s="11">
        <v>75.888324873096451</v>
      </c>
      <c r="I42" s="12">
        <v>0.28499999999999998</v>
      </c>
      <c r="J42" s="13">
        <f t="shared" si="1"/>
        <v>1.4249999999999998</v>
      </c>
      <c r="K42" s="14">
        <f t="shared" si="2"/>
        <v>65.111964284999999</v>
      </c>
    </row>
    <row r="43" spans="1:11" x14ac:dyDescent="0.15">
      <c r="A43" s="51"/>
      <c r="B43" s="8">
        <v>42</v>
      </c>
      <c r="C43" s="9">
        <v>5.1999999999999966</v>
      </c>
      <c r="D43" s="10">
        <v>18.978102189781005</v>
      </c>
      <c r="E43" s="10">
        <v>4.0145985401460944</v>
      </c>
      <c r="F43" s="10">
        <f t="shared" si="0"/>
        <v>9.124087591241123</v>
      </c>
      <c r="G43" s="10">
        <v>0.10306892934999999</v>
      </c>
      <c r="H43" s="11">
        <v>75.736568457538993</v>
      </c>
      <c r="I43" s="12">
        <v>0.28000000000000003</v>
      </c>
      <c r="J43" s="13">
        <f t="shared" si="1"/>
        <v>1.4000000000000001</v>
      </c>
      <c r="K43" s="14">
        <f t="shared" si="2"/>
        <v>66.511964285000005</v>
      </c>
    </row>
    <row r="44" spans="1:11" x14ac:dyDescent="0.15">
      <c r="A44" s="51"/>
      <c r="B44" s="8">
        <v>43</v>
      </c>
      <c r="C44" s="9">
        <v>5.2499999999999956</v>
      </c>
      <c r="D44" s="10">
        <v>19.636363636363605</v>
      </c>
      <c r="E44" s="10">
        <v>4.3636363636363997</v>
      </c>
      <c r="F44" s="10">
        <f t="shared" si="0"/>
        <v>9.9173553719009089</v>
      </c>
      <c r="G44" s="10">
        <v>9.1195777449999987E-2</v>
      </c>
      <c r="H44" s="11">
        <v>76.436303080766038</v>
      </c>
      <c r="I44" s="12">
        <v>0.28299999999999997</v>
      </c>
      <c r="J44" s="13">
        <f t="shared" si="1"/>
        <v>1.4149999999999998</v>
      </c>
      <c r="K44" s="14">
        <f t="shared" si="2"/>
        <v>67.926964285000011</v>
      </c>
    </row>
    <row r="45" spans="1:11" x14ac:dyDescent="0.15">
      <c r="A45" s="51"/>
      <c r="B45" s="8">
        <v>44</v>
      </c>
      <c r="C45" s="9">
        <v>5.3</v>
      </c>
      <c r="D45" s="10">
        <v>19.771863117870701</v>
      </c>
      <c r="E45" s="10">
        <v>4.5627376425855877</v>
      </c>
      <c r="F45" s="10">
        <f t="shared" si="0"/>
        <v>10.369858278603608</v>
      </c>
      <c r="G45" s="10">
        <v>9.2058191624999994E-2</v>
      </c>
      <c r="H45" s="11">
        <v>76.236749116607768</v>
      </c>
      <c r="I45" s="12">
        <v>0.26900000000000002</v>
      </c>
      <c r="J45" s="13">
        <f t="shared" si="1"/>
        <v>1.3450000000000002</v>
      </c>
      <c r="K45" s="14">
        <f t="shared" si="2"/>
        <v>69.27196428500001</v>
      </c>
    </row>
    <row r="46" spans="1:11" x14ac:dyDescent="0.15">
      <c r="A46" s="51"/>
      <c r="B46" s="8">
        <v>45</v>
      </c>
      <c r="C46" s="9">
        <v>5.35</v>
      </c>
      <c r="D46" s="10">
        <v>19.475655430711608</v>
      </c>
      <c r="E46" s="10">
        <v>4.1198501872658992</v>
      </c>
      <c r="F46" s="10">
        <f t="shared" si="0"/>
        <v>9.3632958801497708</v>
      </c>
      <c r="G46" s="10">
        <v>8.2729268199999997E-2</v>
      </c>
      <c r="H46" s="11">
        <v>76.25215889464593</v>
      </c>
      <c r="I46" s="12">
        <v>0.27500000000000002</v>
      </c>
      <c r="J46" s="13">
        <f t="shared" si="1"/>
        <v>1.375</v>
      </c>
      <c r="K46" s="14">
        <f t="shared" si="2"/>
        <v>70.64696428500001</v>
      </c>
    </row>
    <row r="47" spans="1:11" x14ac:dyDescent="0.15">
      <c r="A47" s="51"/>
      <c r="B47" s="8">
        <v>46</v>
      </c>
      <c r="C47" s="27">
        <v>5.4</v>
      </c>
      <c r="D47" s="10">
        <v>19.277108433734956</v>
      </c>
      <c r="E47" s="10">
        <v>4.8192771084337744</v>
      </c>
      <c r="F47" s="10">
        <f t="shared" si="0"/>
        <v>10.952902519167669</v>
      </c>
      <c r="G47" s="10">
        <v>8.8472440350000001E-2</v>
      </c>
      <c r="H47" s="11">
        <v>77.096483318304777</v>
      </c>
      <c r="I47" s="12">
        <v>0.254</v>
      </c>
      <c r="J47" s="13">
        <f t="shared" si="1"/>
        <v>1.27</v>
      </c>
      <c r="K47" s="14">
        <f t="shared" si="2"/>
        <v>71.916964285000006</v>
      </c>
    </row>
    <row r="48" spans="1:11" x14ac:dyDescent="0.15">
      <c r="A48" s="51"/>
      <c r="B48" s="8">
        <v>47</v>
      </c>
      <c r="C48" s="9">
        <v>5.45</v>
      </c>
      <c r="D48" s="10">
        <v>18.571428571428552</v>
      </c>
      <c r="E48" s="10">
        <v>4.642857142857169</v>
      </c>
      <c r="F48" s="10">
        <f t="shared" si="0"/>
        <v>10.551948051948111</v>
      </c>
      <c r="G48" s="10">
        <v>8.6387884375000001E-2</v>
      </c>
      <c r="H48" s="11">
        <v>75.342465753424662</v>
      </c>
      <c r="I48" s="12">
        <v>0.28799999999999998</v>
      </c>
      <c r="J48" s="13">
        <f t="shared" si="1"/>
        <v>1.44</v>
      </c>
      <c r="K48" s="14">
        <f t="shared" si="2"/>
        <v>73.356964285000004</v>
      </c>
    </row>
    <row r="49" spans="1:11" x14ac:dyDescent="0.15">
      <c r="A49" s="51"/>
      <c r="B49" s="8">
        <v>48</v>
      </c>
      <c r="C49" s="9">
        <v>5.5</v>
      </c>
      <c r="D49" s="10">
        <v>19.402985074626837</v>
      </c>
      <c r="E49" s="10">
        <v>4.4776119402985417</v>
      </c>
      <c r="F49" s="10">
        <f t="shared" si="0"/>
        <v>10.176390773405776</v>
      </c>
      <c r="G49" s="10">
        <v>8.9226931474999993E-2</v>
      </c>
      <c r="H49" s="11">
        <v>75.877192982456151</v>
      </c>
      <c r="I49" s="12">
        <v>0.27500000000000002</v>
      </c>
      <c r="J49" s="13">
        <f t="shared" si="1"/>
        <v>1.375</v>
      </c>
      <c r="K49" s="14">
        <f t="shared" si="2"/>
        <v>74.731964285000004</v>
      </c>
    </row>
    <row r="50" spans="1:11" x14ac:dyDescent="0.15">
      <c r="A50" s="51"/>
      <c r="B50" s="8">
        <v>49</v>
      </c>
      <c r="C50" s="9">
        <v>5.55</v>
      </c>
      <c r="D50" s="10">
        <v>20.212765957446816</v>
      </c>
      <c r="E50" s="10">
        <v>4.2553191489362048</v>
      </c>
      <c r="F50" s="10">
        <f t="shared" si="0"/>
        <v>9.6711798839459195</v>
      </c>
      <c r="G50" s="10">
        <v>9.7879718650000003E-2</v>
      </c>
      <c r="H50" s="11">
        <v>75.408426483233015</v>
      </c>
      <c r="I50" s="12">
        <v>0.28599999999999998</v>
      </c>
      <c r="J50" s="13">
        <f t="shared" si="1"/>
        <v>1.43</v>
      </c>
      <c r="K50" s="14">
        <f t="shared" si="2"/>
        <v>76.16196428500001</v>
      </c>
    </row>
    <row r="51" spans="1:11" x14ac:dyDescent="0.15">
      <c r="A51" s="51"/>
      <c r="B51" s="8">
        <v>50</v>
      </c>
      <c r="C51" s="9">
        <v>5.6</v>
      </c>
      <c r="D51" s="10">
        <v>19.029850746268597</v>
      </c>
      <c r="E51" s="10">
        <v>4.4776119402985479</v>
      </c>
      <c r="F51" s="10">
        <f t="shared" si="0"/>
        <v>10.176390773405791</v>
      </c>
      <c r="G51" s="10">
        <v>9.0052314649999993E-2</v>
      </c>
      <c r="H51" s="11">
        <v>75.709219858156033</v>
      </c>
      <c r="I51" s="12">
        <v>0.27400000000000002</v>
      </c>
      <c r="J51" s="13">
        <f t="shared" si="1"/>
        <v>1.37</v>
      </c>
      <c r="K51" s="14">
        <f t="shared" si="2"/>
        <v>77.531964285000015</v>
      </c>
    </row>
    <row r="52" spans="1:11" x14ac:dyDescent="0.15">
      <c r="A52" s="51"/>
      <c r="B52" s="8">
        <v>51</v>
      </c>
      <c r="C52" s="9">
        <v>5.65</v>
      </c>
      <c r="D52" s="10">
        <v>18.215613382899583</v>
      </c>
      <c r="E52" s="10">
        <v>4.0892193308550011</v>
      </c>
      <c r="F52" s="10">
        <f t="shared" si="0"/>
        <v>9.2936802973977297</v>
      </c>
      <c r="G52" s="10">
        <v>8.4370765799999997E-2</v>
      </c>
      <c r="H52" s="11">
        <v>75.421472937000885</v>
      </c>
      <c r="I52" s="12">
        <v>0.27700000000000002</v>
      </c>
      <c r="J52" s="13">
        <f t="shared" si="1"/>
        <v>1.3850000000000002</v>
      </c>
      <c r="K52" s="14">
        <f t="shared" si="2"/>
        <v>78.91696428500002</v>
      </c>
    </row>
    <row r="53" spans="1:11" x14ac:dyDescent="0.15">
      <c r="A53" s="51"/>
      <c r="B53" s="8">
        <v>52</v>
      </c>
      <c r="C53" s="9">
        <v>5.7</v>
      </c>
      <c r="D53" s="10">
        <v>19.101123595505676</v>
      </c>
      <c r="E53" s="10">
        <v>4.4943820224718145</v>
      </c>
      <c r="F53" s="10">
        <f t="shared" si="0"/>
        <v>10.214504596526851</v>
      </c>
      <c r="G53" s="10">
        <v>7.9109891875000005E-2</v>
      </c>
      <c r="H53" s="11">
        <v>75.471698113207552</v>
      </c>
      <c r="I53" s="12">
        <v>0.27300000000000002</v>
      </c>
      <c r="J53" s="13">
        <f t="shared" si="1"/>
        <v>1.3650000000000002</v>
      </c>
      <c r="K53" s="14">
        <f t="shared" si="2"/>
        <v>80.281964285000015</v>
      </c>
    </row>
    <row r="54" spans="1:11" x14ac:dyDescent="0.15">
      <c r="A54" s="51"/>
      <c r="B54" s="8">
        <v>53</v>
      </c>
      <c r="C54" s="9">
        <v>5.75</v>
      </c>
      <c r="D54" s="10">
        <v>18.450184501845012</v>
      </c>
      <c r="E54" s="10">
        <v>4.4280442804428395</v>
      </c>
      <c r="F54" s="10">
        <f t="shared" si="0"/>
        <v>10.063737001006453</v>
      </c>
      <c r="G54" s="10">
        <v>8.9621952500000004E-2</v>
      </c>
      <c r="H54" s="11">
        <v>75.862068965517253</v>
      </c>
      <c r="I54" s="12">
        <v>0.28000000000000003</v>
      </c>
      <c r="J54" s="13">
        <f t="shared" si="1"/>
        <v>1.4000000000000001</v>
      </c>
      <c r="K54" s="14">
        <f t="shared" si="2"/>
        <v>81.681964285000021</v>
      </c>
    </row>
    <row r="55" spans="1:11" x14ac:dyDescent="0.15">
      <c r="A55" s="51"/>
      <c r="B55" s="8">
        <v>54</v>
      </c>
      <c r="C55" s="9">
        <v>5.8</v>
      </c>
      <c r="D55" s="10">
        <v>17.266187050359605</v>
      </c>
      <c r="E55" s="10">
        <v>4.6762589928058489</v>
      </c>
      <c r="F55" s="10">
        <f t="shared" si="0"/>
        <v>10.62786134728602</v>
      </c>
      <c r="G55" s="10">
        <v>9.9234364475000003E-2</v>
      </c>
      <c r="H55" s="11">
        <v>75.471698113207552</v>
      </c>
      <c r="I55" s="12">
        <v>0.28599999999999998</v>
      </c>
      <c r="J55" s="13">
        <f t="shared" si="1"/>
        <v>1.43</v>
      </c>
      <c r="K55" s="14">
        <f t="shared" si="2"/>
        <v>83.111964285000028</v>
      </c>
    </row>
    <row r="56" spans="1:11" x14ac:dyDescent="0.15">
      <c r="A56" s="51"/>
      <c r="B56" s="8">
        <v>55</v>
      </c>
      <c r="C56" s="9">
        <v>5.85</v>
      </c>
      <c r="D56" s="10">
        <v>17.192982456140413</v>
      </c>
      <c r="E56" s="10">
        <v>4.5614035087718925</v>
      </c>
      <c r="F56" s="10">
        <f t="shared" si="0"/>
        <v>10.366826156299755</v>
      </c>
      <c r="G56" s="10">
        <v>0.1072690805</v>
      </c>
      <c r="H56" s="11">
        <v>74.957118353344768</v>
      </c>
      <c r="I56" s="12">
        <v>0.29199999999999998</v>
      </c>
      <c r="J56" s="13">
        <f t="shared" si="1"/>
        <v>1.46</v>
      </c>
      <c r="K56" s="14">
        <f t="shared" si="2"/>
        <v>84.571964285000021</v>
      </c>
    </row>
    <row r="57" spans="1:11" x14ac:dyDescent="0.15">
      <c r="A57" s="51"/>
      <c r="B57" s="8">
        <v>56</v>
      </c>
      <c r="C57" s="9">
        <v>5.9</v>
      </c>
      <c r="D57" s="10">
        <v>16.262975778546682</v>
      </c>
      <c r="E57" s="10">
        <v>4.152249134948133</v>
      </c>
      <c r="F57" s="10">
        <f t="shared" si="0"/>
        <v>9.4369298521548473</v>
      </c>
      <c r="G57" s="10">
        <v>0.11126958175</v>
      </c>
      <c r="H57" s="11">
        <v>74.679213002566286</v>
      </c>
      <c r="I57" s="12">
        <v>0.29599999999999999</v>
      </c>
      <c r="J57" s="13">
        <f t="shared" si="1"/>
        <v>1.48</v>
      </c>
      <c r="K57" s="14">
        <f t="shared" si="2"/>
        <v>86.051964285000025</v>
      </c>
    </row>
    <row r="58" spans="1:11" x14ac:dyDescent="0.15">
      <c r="A58" s="52"/>
      <c r="B58" s="15">
        <v>57</v>
      </c>
      <c r="C58" s="16">
        <v>5.95</v>
      </c>
      <c r="D58" s="17">
        <v>15.358361774743996</v>
      </c>
      <c r="E58" s="17">
        <v>4.0955631399317722</v>
      </c>
      <c r="F58" s="17">
        <f t="shared" si="0"/>
        <v>9.3080980452994826</v>
      </c>
      <c r="G58" s="17">
        <v>0.11105219799999999</v>
      </c>
      <c r="H58" s="18">
        <v>73.920552677029349</v>
      </c>
      <c r="I58" s="19">
        <v>0.30199999999999999</v>
      </c>
      <c r="J58" s="20">
        <f t="shared" si="1"/>
        <v>1.51</v>
      </c>
      <c r="K58" s="21">
        <f t="shared" si="2"/>
        <v>87.56196428500003</v>
      </c>
    </row>
    <row r="59" spans="1:11" x14ac:dyDescent="0.15">
      <c r="A59" s="50"/>
      <c r="B59" s="2">
        <v>58</v>
      </c>
      <c r="C59" s="9">
        <v>6</v>
      </c>
      <c r="D59" s="4">
        <v>14.150943396226396</v>
      </c>
      <c r="E59" s="4">
        <v>4.0880503144653781</v>
      </c>
      <c r="F59" s="4">
        <f t="shared" si="0"/>
        <v>9.2910234419667681</v>
      </c>
      <c r="G59" s="4">
        <v>0.12485616375</v>
      </c>
      <c r="H59" s="22">
        <v>73.174733388022958</v>
      </c>
      <c r="I59" s="23">
        <v>0.32700000000000001</v>
      </c>
      <c r="J59" s="24">
        <f t="shared" si="1"/>
        <v>1.635</v>
      </c>
      <c r="K59" s="25">
        <f t="shared" si="2"/>
        <v>89.196964285000035</v>
      </c>
    </row>
    <row r="60" spans="1:11" x14ac:dyDescent="0.15">
      <c r="A60" s="51"/>
      <c r="B60" s="8">
        <v>59</v>
      </c>
      <c r="C60" s="9">
        <v>6.05</v>
      </c>
      <c r="D60" s="10">
        <v>14.150943396226401</v>
      </c>
      <c r="E60" s="10">
        <v>4.0880503144653799</v>
      </c>
      <c r="F60" s="10">
        <f t="shared" si="0"/>
        <v>9.2910234419667717</v>
      </c>
      <c r="G60" s="10">
        <v>0.10677046549999999</v>
      </c>
      <c r="H60" s="11">
        <v>72.878535773710482</v>
      </c>
      <c r="I60" s="12">
        <v>0.32600000000000001</v>
      </c>
      <c r="J60" s="13">
        <f t="shared" si="1"/>
        <v>1.6300000000000001</v>
      </c>
      <c r="K60" s="14">
        <f t="shared" si="2"/>
        <v>90.826964285000031</v>
      </c>
    </row>
    <row r="61" spans="1:11" x14ac:dyDescent="0.15">
      <c r="A61" s="51"/>
      <c r="B61" s="8">
        <v>60</v>
      </c>
      <c r="C61" s="9">
        <v>6.1</v>
      </c>
      <c r="D61" s="10">
        <v>14.117647058823504</v>
      </c>
      <c r="E61" s="10">
        <v>3.529411764706015</v>
      </c>
      <c r="F61" s="10">
        <f t="shared" si="0"/>
        <v>8.0213903743318529</v>
      </c>
      <c r="G61" s="10">
        <v>0.1214649525</v>
      </c>
      <c r="H61" s="11">
        <v>72.322375397667017</v>
      </c>
      <c r="I61" s="12">
        <v>0.32624999999999998</v>
      </c>
      <c r="J61" s="13">
        <f t="shared" si="1"/>
        <v>1.6312499999999999</v>
      </c>
      <c r="K61" s="14">
        <f t="shared" si="2"/>
        <v>92.458214285000025</v>
      </c>
    </row>
    <row r="62" spans="1:11" x14ac:dyDescent="0.15">
      <c r="A62" s="51"/>
      <c r="B62" s="8">
        <v>61</v>
      </c>
      <c r="C62" s="9">
        <v>6.15</v>
      </c>
      <c r="D62" s="10">
        <v>13.513513513513493</v>
      </c>
      <c r="E62" s="10">
        <v>4.5045045045045677</v>
      </c>
      <c r="F62" s="10">
        <f t="shared" si="0"/>
        <v>10.237510237510381</v>
      </c>
      <c r="G62" s="10">
        <v>0.10637630225</v>
      </c>
      <c r="H62" s="11">
        <v>71.535893155258762</v>
      </c>
      <c r="I62" s="12">
        <v>0.34100000000000003</v>
      </c>
      <c r="J62" s="13">
        <f t="shared" si="1"/>
        <v>1.7050000000000001</v>
      </c>
      <c r="K62" s="14">
        <f t="shared" si="2"/>
        <v>94.163214285000024</v>
      </c>
    </row>
    <row r="63" spans="1:11" x14ac:dyDescent="0.15">
      <c r="A63" s="51"/>
      <c r="B63" s="8">
        <v>62</v>
      </c>
      <c r="C63" s="9">
        <v>6.2</v>
      </c>
      <c r="D63" s="10">
        <v>13.742690058479498</v>
      </c>
      <c r="E63" s="10">
        <v>4.3859649122806603</v>
      </c>
      <c r="F63" s="10">
        <f t="shared" si="0"/>
        <v>9.9681020733651362</v>
      </c>
      <c r="G63" s="10">
        <v>0.11560251675</v>
      </c>
      <c r="H63" s="11">
        <v>71.370309951060349</v>
      </c>
      <c r="I63" s="12">
        <v>0.35099999999999998</v>
      </c>
      <c r="J63" s="13">
        <f t="shared" si="1"/>
        <v>1.7549999999999999</v>
      </c>
      <c r="K63" s="14">
        <f t="shared" si="2"/>
        <v>95.918214285000019</v>
      </c>
    </row>
    <row r="64" spans="1:11" x14ac:dyDescent="0.15">
      <c r="A64" s="51"/>
      <c r="B64" s="8">
        <v>63</v>
      </c>
      <c r="C64" s="9">
        <v>6.25</v>
      </c>
      <c r="D64" s="10">
        <v>14.915254237288062</v>
      </c>
      <c r="E64" s="10">
        <v>4.4067796610170369</v>
      </c>
      <c r="F64" s="10">
        <f t="shared" si="0"/>
        <v>10.015408320493266</v>
      </c>
      <c r="G64" s="10">
        <v>0.11767642775000001</v>
      </c>
      <c r="H64" s="11">
        <v>73.74350086655113</v>
      </c>
      <c r="I64" s="12">
        <v>0.30299999999999999</v>
      </c>
      <c r="J64" s="13">
        <f t="shared" si="1"/>
        <v>1.5149999999999999</v>
      </c>
      <c r="K64" s="14">
        <f t="shared" si="2"/>
        <v>97.43321428500002</v>
      </c>
    </row>
    <row r="65" spans="1:11" x14ac:dyDescent="0.15">
      <c r="A65" s="51"/>
      <c r="B65" s="8">
        <v>64</v>
      </c>
      <c r="C65" s="9">
        <v>6.3</v>
      </c>
      <c r="D65" s="10">
        <v>14.388489208633166</v>
      </c>
      <c r="E65" s="10">
        <v>4.6762589928057183</v>
      </c>
      <c r="F65" s="10">
        <f t="shared" si="0"/>
        <v>10.627861347285723</v>
      </c>
      <c r="G65" s="10">
        <v>0.13503751425000002</v>
      </c>
      <c r="H65" s="11">
        <v>75.217391304347814</v>
      </c>
      <c r="I65" s="12">
        <v>0.28499999999999998</v>
      </c>
      <c r="J65" s="13">
        <f t="shared" si="1"/>
        <v>1.4249999999999998</v>
      </c>
      <c r="K65" s="14">
        <f t="shared" si="2"/>
        <v>98.858214285000017</v>
      </c>
    </row>
    <row r="66" spans="1:11" x14ac:dyDescent="0.15">
      <c r="A66" s="51"/>
      <c r="B66" s="8">
        <v>65</v>
      </c>
      <c r="C66" s="9">
        <v>6.35</v>
      </c>
      <c r="D66" s="10">
        <v>14.074074074074153</v>
      </c>
      <c r="E66" s="10">
        <v>4.8148148148147731</v>
      </c>
      <c r="F66" s="10">
        <f t="shared" ref="F66:F129" si="3">E66/0.44</f>
        <v>10.942760942760849</v>
      </c>
      <c r="G66" s="10">
        <v>0.13455989875000002</v>
      </c>
      <c r="H66" s="11">
        <v>76.03806228373702</v>
      </c>
      <c r="I66" s="12">
        <v>0.27700000000000002</v>
      </c>
      <c r="J66" s="13">
        <f t="shared" si="1"/>
        <v>1.3850000000000002</v>
      </c>
      <c r="K66" s="14">
        <f t="shared" si="2"/>
        <v>100.24321428500002</v>
      </c>
    </row>
    <row r="67" spans="1:11" x14ac:dyDescent="0.15">
      <c r="A67" s="51"/>
      <c r="B67" s="8">
        <v>66</v>
      </c>
      <c r="C67" s="26">
        <v>6.4</v>
      </c>
      <c r="D67" s="10">
        <v>13.754646840148608</v>
      </c>
      <c r="E67" s="10">
        <v>4.8327137546469361</v>
      </c>
      <c r="F67" s="10">
        <f t="shared" si="3"/>
        <v>10.983440351470309</v>
      </c>
      <c r="G67" s="10">
        <v>0.11941999175000001</v>
      </c>
      <c r="H67" s="11">
        <v>75.979112271540473</v>
      </c>
      <c r="I67" s="12">
        <v>0.27600000000000002</v>
      </c>
      <c r="J67" s="13">
        <f t="shared" si="1"/>
        <v>1.3800000000000001</v>
      </c>
      <c r="K67" s="14">
        <f t="shared" si="2"/>
        <v>101.62321428500002</v>
      </c>
    </row>
    <row r="68" spans="1:11" x14ac:dyDescent="0.15">
      <c r="A68" s="51"/>
      <c r="B68" s="8">
        <v>67</v>
      </c>
      <c r="C68" s="9">
        <v>6.45</v>
      </c>
      <c r="D68" s="10">
        <v>13.454545454545491</v>
      </c>
      <c r="E68" s="10">
        <v>5.4545454545454026</v>
      </c>
      <c r="F68" s="10">
        <f t="shared" si="3"/>
        <v>12.396694214875914</v>
      </c>
      <c r="G68" s="10">
        <v>0.13818266600000001</v>
      </c>
      <c r="H68" s="11">
        <v>75.455333911535121</v>
      </c>
      <c r="I68" s="12">
        <v>0.28299999999999997</v>
      </c>
      <c r="J68" s="13">
        <f t="shared" ref="J68:J131" si="4">I68*5</f>
        <v>1.4149999999999998</v>
      </c>
      <c r="K68" s="14">
        <f t="shared" ref="K68:K131" si="5">J68+K67</f>
        <v>103.03821428500002</v>
      </c>
    </row>
    <row r="69" spans="1:11" x14ac:dyDescent="0.15">
      <c r="A69" s="51"/>
      <c r="B69" s="8">
        <v>68</v>
      </c>
      <c r="C69" s="9">
        <v>6.5</v>
      </c>
      <c r="D69" s="10">
        <v>13.79310344827582</v>
      </c>
      <c r="E69" s="10">
        <v>4.8275862068965738</v>
      </c>
      <c r="F69" s="10">
        <f t="shared" si="3"/>
        <v>10.97178683385585</v>
      </c>
      <c r="G69" s="10">
        <v>0.14996157875000002</v>
      </c>
      <c r="H69" s="11">
        <v>74.352331606217618</v>
      </c>
      <c r="I69" s="12">
        <v>0.29699999999999999</v>
      </c>
      <c r="J69" s="13">
        <f t="shared" si="4"/>
        <v>1.4849999999999999</v>
      </c>
      <c r="K69" s="14">
        <f t="shared" si="5"/>
        <v>104.52321428500002</v>
      </c>
    </row>
    <row r="70" spans="1:11" x14ac:dyDescent="0.15">
      <c r="A70" s="51"/>
      <c r="B70" s="8">
        <v>69</v>
      </c>
      <c r="C70" s="9">
        <v>6.55</v>
      </c>
      <c r="D70" s="10">
        <v>13.945578231292515</v>
      </c>
      <c r="E70" s="10">
        <v>4.7619047619047787</v>
      </c>
      <c r="F70" s="10">
        <f t="shared" si="3"/>
        <v>10.822510822510861</v>
      </c>
      <c r="G70" s="10">
        <v>0.18180438825</v>
      </c>
      <c r="H70" s="11">
        <v>74.096385542168676</v>
      </c>
      <c r="I70" s="12">
        <v>0.30099999999999999</v>
      </c>
      <c r="J70" s="13">
        <f t="shared" si="4"/>
        <v>1.5049999999999999</v>
      </c>
      <c r="K70" s="14">
        <f t="shared" si="5"/>
        <v>106.02821428500002</v>
      </c>
    </row>
    <row r="71" spans="1:11" x14ac:dyDescent="0.15">
      <c r="A71" s="51"/>
      <c r="B71" s="8">
        <v>70</v>
      </c>
      <c r="C71" s="9">
        <v>6.6</v>
      </c>
      <c r="D71" s="10">
        <v>13.85135135135136</v>
      </c>
      <c r="E71" s="10">
        <v>5.4054054054054124</v>
      </c>
      <c r="F71" s="10">
        <f t="shared" si="3"/>
        <v>12.2850122850123</v>
      </c>
      <c r="G71" s="10">
        <v>0.1890673735</v>
      </c>
      <c r="H71" s="11">
        <v>74.218089602704993</v>
      </c>
      <c r="I71" s="12">
        <v>0.30499999999999999</v>
      </c>
      <c r="J71" s="13">
        <f t="shared" si="4"/>
        <v>1.5249999999999999</v>
      </c>
      <c r="K71" s="14">
        <f t="shared" si="5"/>
        <v>107.55321428500002</v>
      </c>
    </row>
    <row r="72" spans="1:11" x14ac:dyDescent="0.15">
      <c r="A72" s="51"/>
      <c r="B72" s="8">
        <v>71</v>
      </c>
      <c r="C72" s="9">
        <v>6.65</v>
      </c>
      <c r="D72" s="10">
        <v>13.531353135313539</v>
      </c>
      <c r="E72" s="10">
        <v>5.2805280528052858</v>
      </c>
      <c r="F72" s="10">
        <f t="shared" si="3"/>
        <v>12.001200120012014</v>
      </c>
      <c r="G72" s="10">
        <v>0.20910491274999998</v>
      </c>
      <c r="H72" s="11">
        <v>73.755274261603375</v>
      </c>
      <c r="I72" s="12">
        <v>0.311</v>
      </c>
      <c r="J72" s="13">
        <f t="shared" si="4"/>
        <v>1.5549999999999999</v>
      </c>
      <c r="K72" s="14">
        <f t="shared" si="5"/>
        <v>109.10821428500003</v>
      </c>
    </row>
    <row r="73" spans="1:11" x14ac:dyDescent="0.15">
      <c r="A73" s="51"/>
      <c r="B73" s="8">
        <v>72</v>
      </c>
      <c r="C73" s="9">
        <v>6.7</v>
      </c>
      <c r="D73" s="10">
        <v>12.662337662337681</v>
      </c>
      <c r="E73" s="10">
        <v>5.5194805194804593</v>
      </c>
      <c r="F73" s="10">
        <f t="shared" si="3"/>
        <v>12.544273907910135</v>
      </c>
      <c r="G73" s="10">
        <v>0.19393389775</v>
      </c>
      <c r="H73" s="11">
        <v>73.355817875210789</v>
      </c>
      <c r="I73" s="12">
        <v>0.316</v>
      </c>
      <c r="J73" s="13">
        <f t="shared" si="4"/>
        <v>1.58</v>
      </c>
      <c r="K73" s="14">
        <f t="shared" si="5"/>
        <v>110.68821428500003</v>
      </c>
    </row>
    <row r="74" spans="1:11" x14ac:dyDescent="0.15">
      <c r="A74" s="51"/>
      <c r="B74" s="8">
        <v>73</v>
      </c>
      <c r="C74" s="9">
        <v>6.75</v>
      </c>
      <c r="D74" s="10">
        <v>13.541666666666691</v>
      </c>
      <c r="E74" s="10">
        <v>4.5138888888888564</v>
      </c>
      <c r="F74" s="10">
        <f t="shared" si="3"/>
        <v>10.258838383838309</v>
      </c>
      <c r="G74" s="10">
        <v>0.20981515100000001</v>
      </c>
      <c r="H74" s="11">
        <v>74.303135888501743</v>
      </c>
      <c r="I74" s="12">
        <v>0.29499999999999998</v>
      </c>
      <c r="J74" s="13">
        <f t="shared" si="4"/>
        <v>1.4749999999999999</v>
      </c>
      <c r="K74" s="14">
        <f t="shared" si="5"/>
        <v>112.16321428500002</v>
      </c>
    </row>
    <row r="75" spans="1:11" x14ac:dyDescent="0.15">
      <c r="A75" s="51"/>
      <c r="B75" s="8">
        <v>74</v>
      </c>
      <c r="C75" s="9">
        <v>6.8</v>
      </c>
      <c r="D75" s="10">
        <v>13.63636363636366</v>
      </c>
      <c r="E75" s="10">
        <v>4.8951048951049163</v>
      </c>
      <c r="F75" s="10">
        <f t="shared" si="3"/>
        <v>11.125238397965719</v>
      </c>
      <c r="G75" s="10">
        <v>0.19878790899999998</v>
      </c>
      <c r="H75" s="11">
        <v>74.849785407725335</v>
      </c>
      <c r="I75" s="12">
        <v>0.29299999999999998</v>
      </c>
      <c r="J75" s="13">
        <f t="shared" si="4"/>
        <v>1.4649999999999999</v>
      </c>
      <c r="K75" s="14">
        <f t="shared" si="5"/>
        <v>113.62821428500003</v>
      </c>
    </row>
    <row r="76" spans="1:11" x14ac:dyDescent="0.15">
      <c r="A76" s="51"/>
      <c r="B76" s="8">
        <v>75</v>
      </c>
      <c r="C76" s="9">
        <v>6.85</v>
      </c>
      <c r="D76" s="10">
        <v>13.680781758957602</v>
      </c>
      <c r="E76" s="10">
        <v>4.885993485342091</v>
      </c>
      <c r="F76" s="10">
        <f t="shared" si="3"/>
        <v>11.104530648504753</v>
      </c>
      <c r="G76" s="10">
        <v>0.1981771215</v>
      </c>
      <c r="H76" s="11">
        <v>73.32200509770604</v>
      </c>
      <c r="I76" s="12">
        <v>0.314</v>
      </c>
      <c r="J76" s="13">
        <f t="shared" si="4"/>
        <v>1.57</v>
      </c>
      <c r="K76" s="14">
        <f t="shared" si="5"/>
        <v>115.19821428500002</v>
      </c>
    </row>
    <row r="77" spans="1:11" x14ac:dyDescent="0.15">
      <c r="A77" s="51"/>
      <c r="B77" s="8">
        <v>76</v>
      </c>
      <c r="C77" s="9">
        <v>6.9</v>
      </c>
      <c r="D77" s="10">
        <v>14.383561643835563</v>
      </c>
      <c r="E77" s="10">
        <v>5.1369863013698174</v>
      </c>
      <c r="F77" s="10">
        <f t="shared" si="3"/>
        <v>11.674968866749586</v>
      </c>
      <c r="G77" s="10">
        <v>0.18073548125</v>
      </c>
      <c r="H77" s="11">
        <v>74.201898188093168</v>
      </c>
      <c r="I77" s="12">
        <v>0.29899999999999999</v>
      </c>
      <c r="J77" s="13">
        <f t="shared" si="4"/>
        <v>1.4949999999999999</v>
      </c>
      <c r="K77" s="14">
        <f t="shared" si="5"/>
        <v>116.69321428500002</v>
      </c>
    </row>
    <row r="78" spans="1:11" x14ac:dyDescent="0.15">
      <c r="A78" s="51"/>
      <c r="B78" s="8">
        <v>77</v>
      </c>
      <c r="C78" s="9">
        <v>6.95</v>
      </c>
      <c r="D78" s="10">
        <v>13.782051282051277</v>
      </c>
      <c r="E78" s="10">
        <v>4.807692307692264</v>
      </c>
      <c r="F78" s="10">
        <f t="shared" si="3"/>
        <v>10.926573426573327</v>
      </c>
      <c r="G78" s="10">
        <v>0.1596618205</v>
      </c>
      <c r="H78" s="11">
        <v>74.110032362459535</v>
      </c>
      <c r="I78" s="12">
        <v>0.32</v>
      </c>
      <c r="J78" s="13">
        <f t="shared" si="4"/>
        <v>1.6</v>
      </c>
      <c r="K78" s="14">
        <f t="shared" si="5"/>
        <v>118.29321428500002</v>
      </c>
    </row>
    <row r="79" spans="1:11" x14ac:dyDescent="0.15">
      <c r="A79" s="51"/>
      <c r="B79" s="8">
        <v>78</v>
      </c>
      <c r="C79" s="9">
        <v>7</v>
      </c>
      <c r="D79" s="10">
        <v>14.473684210526244</v>
      </c>
      <c r="E79" s="10">
        <v>4.9342105263158613</v>
      </c>
      <c r="F79" s="10">
        <f t="shared" si="3"/>
        <v>11.214114832536048</v>
      </c>
      <c r="G79" s="10">
        <v>0.21029278300000001</v>
      </c>
      <c r="H79" s="11">
        <v>73.581710414902631</v>
      </c>
      <c r="I79" s="12">
        <v>0.312</v>
      </c>
      <c r="J79" s="13">
        <f t="shared" si="4"/>
        <v>1.56</v>
      </c>
      <c r="K79" s="14">
        <f t="shared" si="5"/>
        <v>119.85321428500002</v>
      </c>
    </row>
    <row r="80" spans="1:11" x14ac:dyDescent="0.15">
      <c r="A80" s="51"/>
      <c r="B80" s="8">
        <v>79</v>
      </c>
      <c r="C80" s="9">
        <v>7.05</v>
      </c>
      <c r="D80" s="10">
        <v>14.089347079037806</v>
      </c>
      <c r="E80" s="10">
        <v>4.4673539518899998</v>
      </c>
      <c r="F80" s="10">
        <f t="shared" si="3"/>
        <v>10.153077163386364</v>
      </c>
      <c r="G80" s="10">
        <v>0.14579835499999999</v>
      </c>
      <c r="H80" s="11">
        <v>73.771929824561397</v>
      </c>
      <c r="I80" s="12">
        <v>0.29899999999999999</v>
      </c>
      <c r="J80" s="13">
        <f t="shared" si="4"/>
        <v>1.4949999999999999</v>
      </c>
      <c r="K80" s="14">
        <f t="shared" si="5"/>
        <v>121.34821428500003</v>
      </c>
    </row>
    <row r="81" spans="1:11" x14ac:dyDescent="0.15">
      <c r="A81" s="51"/>
      <c r="B81" s="8">
        <v>80</v>
      </c>
      <c r="C81" s="9">
        <v>7.15</v>
      </c>
      <c r="D81" s="10">
        <v>14.935064935064856</v>
      </c>
      <c r="E81" s="10">
        <v>5.5194805194805783</v>
      </c>
      <c r="F81" s="10">
        <f t="shared" si="3"/>
        <v>12.544273907910405</v>
      </c>
      <c r="G81" s="10">
        <v>0.20295593039721424</v>
      </c>
      <c r="H81" s="11">
        <v>73.595976529756911</v>
      </c>
      <c r="I81" s="12">
        <v>0.315</v>
      </c>
      <c r="J81" s="13">
        <f t="shared" si="4"/>
        <v>1.575</v>
      </c>
      <c r="K81" s="14">
        <f t="shared" si="5"/>
        <v>122.92321428500003</v>
      </c>
    </row>
    <row r="82" spans="1:11" x14ac:dyDescent="0.15">
      <c r="A82" s="51"/>
      <c r="B82" s="8">
        <v>81</v>
      </c>
      <c r="C82" s="9">
        <v>7.2</v>
      </c>
      <c r="D82" s="10">
        <v>14.814814814814845</v>
      </c>
      <c r="E82" s="10">
        <v>5.3872053872053876</v>
      </c>
      <c r="F82" s="10">
        <f t="shared" si="3"/>
        <v>12.243648607284971</v>
      </c>
      <c r="G82" s="10">
        <v>0.26655120649077974</v>
      </c>
      <c r="H82" s="11">
        <v>74.077253218884124</v>
      </c>
      <c r="I82" s="12">
        <v>0.30199999999999999</v>
      </c>
      <c r="J82" s="13">
        <f t="shared" si="4"/>
        <v>1.51</v>
      </c>
      <c r="K82" s="14">
        <f t="shared" si="5"/>
        <v>124.43321428500003</v>
      </c>
    </row>
    <row r="83" spans="1:11" x14ac:dyDescent="0.15">
      <c r="A83" s="51"/>
      <c r="B83" s="8">
        <v>82</v>
      </c>
      <c r="C83" s="9">
        <v>7.25</v>
      </c>
      <c r="D83" s="10">
        <v>15.84158415841585</v>
      </c>
      <c r="E83" s="10">
        <v>4.2904290429042566</v>
      </c>
      <c r="F83" s="10">
        <f t="shared" si="3"/>
        <v>9.7509750975096736</v>
      </c>
      <c r="G83" s="10">
        <v>0.26176914013478225</v>
      </c>
      <c r="H83" s="11">
        <v>73.817567567567579</v>
      </c>
      <c r="I83" s="12">
        <v>0.31</v>
      </c>
      <c r="J83" s="13">
        <f t="shared" si="4"/>
        <v>1.55</v>
      </c>
      <c r="K83" s="14">
        <f t="shared" si="5"/>
        <v>125.98321428500003</v>
      </c>
    </row>
    <row r="84" spans="1:11" x14ac:dyDescent="0.15">
      <c r="A84" s="51"/>
      <c r="B84" s="8">
        <v>83</v>
      </c>
      <c r="C84" s="9">
        <v>7.3</v>
      </c>
      <c r="D84" s="10">
        <v>15.511551155115585</v>
      </c>
      <c r="E84" s="10">
        <v>4.6204620462045201</v>
      </c>
      <c r="F84" s="10">
        <f t="shared" si="3"/>
        <v>10.501050105010274</v>
      </c>
      <c r="G84" s="10">
        <v>0.23482717674401452</v>
      </c>
      <c r="H84" s="11">
        <v>73.634812286689424</v>
      </c>
      <c r="I84" s="12">
        <v>0.309</v>
      </c>
      <c r="J84" s="13">
        <f t="shared" si="4"/>
        <v>1.5449999999999999</v>
      </c>
      <c r="K84" s="14">
        <f t="shared" si="5"/>
        <v>127.52821428500003</v>
      </c>
    </row>
    <row r="85" spans="1:11" x14ac:dyDescent="0.15">
      <c r="A85" s="51"/>
      <c r="B85" s="8">
        <v>84</v>
      </c>
      <c r="C85" s="9">
        <v>7.35</v>
      </c>
      <c r="D85" s="10">
        <v>15.434083601286133</v>
      </c>
      <c r="E85" s="10">
        <v>4.5016077170418196</v>
      </c>
      <c r="F85" s="10">
        <f t="shared" si="3"/>
        <v>10.2309266296405</v>
      </c>
      <c r="G85" s="10">
        <v>0.21887508809717726</v>
      </c>
      <c r="H85" s="11">
        <v>72.458731537793213</v>
      </c>
      <c r="I85" s="12">
        <v>0.317</v>
      </c>
      <c r="J85" s="13">
        <f t="shared" si="4"/>
        <v>1.585</v>
      </c>
      <c r="K85" s="14">
        <f t="shared" si="5"/>
        <v>129.11321428500003</v>
      </c>
    </row>
    <row r="86" spans="1:11" x14ac:dyDescent="0.15">
      <c r="A86" s="51"/>
      <c r="B86" s="8">
        <v>85</v>
      </c>
      <c r="C86" s="9">
        <v>7.4</v>
      </c>
      <c r="D86" s="10">
        <v>14.457831325301216</v>
      </c>
      <c r="E86" s="10">
        <v>4.5180722891565832</v>
      </c>
      <c r="F86" s="10">
        <f t="shared" si="3"/>
        <v>10.268346111719508</v>
      </c>
      <c r="G86" s="10">
        <v>0.22202159852488723</v>
      </c>
      <c r="H86" s="11">
        <v>71.820448877805489</v>
      </c>
      <c r="I86" s="12">
        <v>0.33900000000000002</v>
      </c>
      <c r="J86" s="13">
        <f t="shared" si="4"/>
        <v>1.6950000000000001</v>
      </c>
      <c r="K86" s="14">
        <f t="shared" si="5"/>
        <v>130.80821428500002</v>
      </c>
    </row>
    <row r="87" spans="1:11" x14ac:dyDescent="0.15">
      <c r="A87" s="51"/>
      <c r="B87" s="8">
        <v>86</v>
      </c>
      <c r="C87" s="9">
        <v>7.45</v>
      </c>
      <c r="D87" s="10">
        <v>15.887850467289763</v>
      </c>
      <c r="E87" s="10">
        <v>4.0498442367600926</v>
      </c>
      <c r="F87" s="10">
        <f t="shared" si="3"/>
        <v>9.2041914471820281</v>
      </c>
      <c r="G87" s="10">
        <v>0.25193881461966849</v>
      </c>
      <c r="H87" s="11">
        <v>72.0136518771331</v>
      </c>
      <c r="I87" s="12">
        <v>0.32800000000000001</v>
      </c>
      <c r="J87" s="13">
        <f t="shared" si="4"/>
        <v>1.6400000000000001</v>
      </c>
      <c r="K87" s="14">
        <f t="shared" si="5"/>
        <v>132.44821428500001</v>
      </c>
    </row>
    <row r="88" spans="1:11" x14ac:dyDescent="0.15">
      <c r="A88" s="51"/>
      <c r="B88" s="8">
        <v>87</v>
      </c>
      <c r="C88" s="9">
        <v>7.5</v>
      </c>
      <c r="D88" s="10">
        <v>15.286624203821667</v>
      </c>
      <c r="E88" s="10">
        <v>4.7770700636943344</v>
      </c>
      <c r="F88" s="10">
        <f t="shared" si="3"/>
        <v>10.856977417487123</v>
      </c>
      <c r="G88" s="10">
        <v>0.2716988693829645</v>
      </c>
      <c r="H88" s="11">
        <v>73.227689741451215</v>
      </c>
      <c r="I88" s="12">
        <v>0.32100000000000001</v>
      </c>
      <c r="J88" s="13">
        <f t="shared" si="4"/>
        <v>1.605</v>
      </c>
      <c r="K88" s="14">
        <f t="shared" si="5"/>
        <v>134.053214285</v>
      </c>
    </row>
    <row r="89" spans="1:11" x14ac:dyDescent="0.15">
      <c r="A89" s="51"/>
      <c r="B89" s="8">
        <v>88</v>
      </c>
      <c r="C89" s="9">
        <v>7.55</v>
      </c>
      <c r="D89" s="10">
        <v>15.705128205128263</v>
      </c>
      <c r="E89" s="10">
        <v>4.1666666666666332</v>
      </c>
      <c r="F89" s="10">
        <f t="shared" si="3"/>
        <v>9.4696969696968942</v>
      </c>
      <c r="G89" s="10">
        <v>0.19817894219514176</v>
      </c>
      <c r="H89" s="11">
        <v>72.797262617621897</v>
      </c>
      <c r="I89" s="12">
        <v>0.318</v>
      </c>
      <c r="J89" s="13">
        <f t="shared" si="4"/>
        <v>1.59</v>
      </c>
      <c r="K89" s="14">
        <f t="shared" si="5"/>
        <v>135.643214285</v>
      </c>
    </row>
    <row r="90" spans="1:11" x14ac:dyDescent="0.15">
      <c r="A90" s="51"/>
      <c r="B90" s="8">
        <v>89</v>
      </c>
      <c r="C90" s="9">
        <v>7.6</v>
      </c>
      <c r="D90" s="10">
        <v>14.617940199335591</v>
      </c>
      <c r="E90" s="10">
        <v>5.6478405315614006</v>
      </c>
      <c r="F90" s="10">
        <f t="shared" si="3"/>
        <v>12.836001208094093</v>
      </c>
      <c r="G90" s="10">
        <v>0.13388419752644623</v>
      </c>
      <c r="H90" s="11">
        <v>73.557278208440991</v>
      </c>
      <c r="I90" s="12">
        <v>0.307</v>
      </c>
      <c r="J90" s="13">
        <f t="shared" si="4"/>
        <v>1.5349999999999999</v>
      </c>
      <c r="K90" s="14">
        <f t="shared" si="5"/>
        <v>137.178214285</v>
      </c>
    </row>
    <row r="91" spans="1:11" x14ac:dyDescent="0.15">
      <c r="A91" s="51"/>
      <c r="B91" s="8">
        <v>90</v>
      </c>
      <c r="C91" s="9">
        <v>7.65</v>
      </c>
      <c r="D91" s="10">
        <v>15.699658703071703</v>
      </c>
      <c r="E91" s="10">
        <v>4.7781569965870503</v>
      </c>
      <c r="F91" s="10">
        <f t="shared" si="3"/>
        <v>10.859447719516023</v>
      </c>
      <c r="G91" s="10">
        <v>0.12933554063650526</v>
      </c>
      <c r="H91" s="11">
        <v>73.973799126637545</v>
      </c>
      <c r="I91" s="12">
        <v>0.29799999999999999</v>
      </c>
      <c r="J91" s="13">
        <f t="shared" si="4"/>
        <v>1.49</v>
      </c>
      <c r="K91" s="14">
        <f t="shared" si="5"/>
        <v>138.668214285</v>
      </c>
    </row>
    <row r="92" spans="1:11" x14ac:dyDescent="0.15">
      <c r="A92" s="51"/>
      <c r="B92" s="8">
        <v>91</v>
      </c>
      <c r="C92" s="9">
        <v>7.7</v>
      </c>
      <c r="D92" s="10">
        <v>15.068493150684864</v>
      </c>
      <c r="E92" s="10">
        <v>5.4794520547945282</v>
      </c>
      <c r="F92" s="10">
        <f t="shared" si="3"/>
        <v>12.453300124533019</v>
      </c>
      <c r="G92" s="10">
        <v>0.13088942863907399</v>
      </c>
      <c r="H92" s="11">
        <v>74.243733794295593</v>
      </c>
      <c r="I92" s="12">
        <v>0.29799999999999999</v>
      </c>
      <c r="J92" s="13">
        <f t="shared" si="4"/>
        <v>1.49</v>
      </c>
      <c r="K92" s="14">
        <f t="shared" si="5"/>
        <v>140.15821428500001</v>
      </c>
    </row>
    <row r="93" spans="1:11" x14ac:dyDescent="0.15">
      <c r="A93" s="51"/>
      <c r="B93" s="8">
        <v>92</v>
      </c>
      <c r="C93" s="9">
        <v>7.75</v>
      </c>
      <c r="D93" s="10">
        <v>16.612377850162797</v>
      </c>
      <c r="E93" s="10">
        <v>3.908794788273648</v>
      </c>
      <c r="F93" s="10">
        <f t="shared" si="3"/>
        <v>8.8836245188037459</v>
      </c>
      <c r="G93" s="10">
        <v>0.12058726971803775</v>
      </c>
      <c r="H93" s="11">
        <v>73.462510530749782</v>
      </c>
      <c r="I93" s="12">
        <v>0.315</v>
      </c>
      <c r="J93" s="13">
        <f t="shared" si="4"/>
        <v>1.575</v>
      </c>
      <c r="K93" s="14">
        <f t="shared" si="5"/>
        <v>141.733214285</v>
      </c>
    </row>
    <row r="94" spans="1:11" x14ac:dyDescent="0.15">
      <c r="A94" s="51"/>
      <c r="B94" s="8">
        <v>93</v>
      </c>
      <c r="C94" s="9">
        <v>7.8</v>
      </c>
      <c r="D94" s="10">
        <v>16.438356164383567</v>
      </c>
      <c r="E94" s="10">
        <v>4.452054794520512</v>
      </c>
      <c r="F94" s="10">
        <f t="shared" si="3"/>
        <v>10.118306351182982</v>
      </c>
      <c r="G94" s="10">
        <v>9.0633285208100545E-2</v>
      </c>
      <c r="H94" s="11">
        <v>74.484536082474222</v>
      </c>
      <c r="I94" s="12">
        <v>0.29699999999999999</v>
      </c>
      <c r="J94" s="13">
        <f t="shared" si="4"/>
        <v>1.4849999999999999</v>
      </c>
      <c r="K94" s="14">
        <f t="shared" si="5"/>
        <v>143.21821428500002</v>
      </c>
    </row>
    <row r="95" spans="1:11" x14ac:dyDescent="0.15">
      <c r="A95" s="51"/>
      <c r="B95" s="8">
        <v>94</v>
      </c>
      <c r="C95" s="9">
        <v>7.85</v>
      </c>
      <c r="D95" s="10">
        <v>16.151202749140854</v>
      </c>
      <c r="E95" s="10">
        <v>5.1546391752578051</v>
      </c>
      <c r="F95" s="10">
        <f t="shared" si="3"/>
        <v>11.715089034676829</v>
      </c>
      <c r="G95" s="10">
        <v>7.8002157213790849E-2</v>
      </c>
      <c r="H95" s="11">
        <v>74.378748928877471</v>
      </c>
      <c r="I95" s="12">
        <v>0.29899999999999999</v>
      </c>
      <c r="J95" s="13">
        <f t="shared" si="4"/>
        <v>1.4949999999999999</v>
      </c>
      <c r="K95" s="14">
        <f t="shared" si="5"/>
        <v>144.71321428500002</v>
      </c>
    </row>
    <row r="96" spans="1:11" x14ac:dyDescent="0.15">
      <c r="A96" s="51"/>
      <c r="B96" s="8">
        <v>95</v>
      </c>
      <c r="C96" s="9">
        <v>7.9</v>
      </c>
      <c r="D96" s="10">
        <v>16.896551724137883</v>
      </c>
      <c r="E96" s="10">
        <v>4.8275862068965738</v>
      </c>
      <c r="F96" s="10">
        <f t="shared" si="3"/>
        <v>10.97178683385585</v>
      </c>
      <c r="G96" s="10">
        <v>8.6086801248857828E-2</v>
      </c>
      <c r="H96" s="11">
        <v>74.936278674596423</v>
      </c>
      <c r="I96" s="12">
        <v>0.29499999999999998</v>
      </c>
      <c r="J96" s="13">
        <f t="shared" si="4"/>
        <v>1.4749999999999999</v>
      </c>
      <c r="K96" s="14">
        <f t="shared" si="5"/>
        <v>146.18821428500002</v>
      </c>
    </row>
    <row r="97" spans="1:11" x14ac:dyDescent="0.15">
      <c r="A97" s="51"/>
      <c r="B97" s="8">
        <v>96</v>
      </c>
      <c r="C97" s="9">
        <v>7.95</v>
      </c>
      <c r="D97" s="10">
        <v>17.508417508417502</v>
      </c>
      <c r="E97" s="10">
        <v>3.3670033670034161</v>
      </c>
      <c r="F97" s="10">
        <f t="shared" si="3"/>
        <v>7.6522803795532184</v>
      </c>
      <c r="G97" s="10">
        <v>8.3553787290746404E-2</v>
      </c>
      <c r="H97" s="11">
        <v>74.105621805792168</v>
      </c>
      <c r="I97" s="12">
        <v>0.30399999999999999</v>
      </c>
      <c r="J97" s="13">
        <f t="shared" si="4"/>
        <v>1.52</v>
      </c>
      <c r="K97" s="14">
        <f t="shared" si="5"/>
        <v>147.70821428500003</v>
      </c>
    </row>
    <row r="98" spans="1:11" x14ac:dyDescent="0.15">
      <c r="A98" s="51"/>
      <c r="B98" s="8">
        <v>97</v>
      </c>
      <c r="C98" s="26">
        <v>8</v>
      </c>
      <c r="D98" s="10">
        <v>16.065573770491817</v>
      </c>
      <c r="E98" s="10">
        <v>4.2622950819671823</v>
      </c>
      <c r="F98" s="10">
        <f t="shared" si="3"/>
        <v>9.6870342771981424</v>
      </c>
      <c r="G98" s="10">
        <v>8.6698946593822213E-2</v>
      </c>
      <c r="H98" s="11">
        <v>73.264781491002566</v>
      </c>
      <c r="I98" s="12">
        <v>0.312</v>
      </c>
      <c r="J98" s="13">
        <f t="shared" si="4"/>
        <v>1.56</v>
      </c>
      <c r="K98" s="14">
        <f t="shared" si="5"/>
        <v>149.26821428500003</v>
      </c>
    </row>
    <row r="99" spans="1:11" x14ac:dyDescent="0.15">
      <c r="A99" s="51"/>
      <c r="B99" s="8">
        <v>98</v>
      </c>
      <c r="C99" s="28">
        <v>8.0500000000000007</v>
      </c>
      <c r="D99" s="10">
        <v>17.073170731707268</v>
      </c>
      <c r="E99" s="10">
        <v>4.1811846689895829</v>
      </c>
      <c r="F99" s="10">
        <f t="shared" si="3"/>
        <v>9.5026924295217796</v>
      </c>
      <c r="G99" s="10">
        <v>7.7959198017545653E-2</v>
      </c>
      <c r="H99" s="11">
        <v>74.096916299559481</v>
      </c>
      <c r="I99" s="12">
        <v>0.29399999999999998</v>
      </c>
      <c r="J99" s="13">
        <f t="shared" si="4"/>
        <v>1.47</v>
      </c>
      <c r="K99" s="14">
        <f t="shared" si="5"/>
        <v>150.73821428500003</v>
      </c>
    </row>
    <row r="100" spans="1:11" x14ac:dyDescent="0.15">
      <c r="A100" s="51"/>
      <c r="B100" s="8">
        <v>99</v>
      </c>
      <c r="C100" s="28">
        <v>8.15</v>
      </c>
      <c r="D100" s="10">
        <v>18.471337579617888</v>
      </c>
      <c r="E100" s="10">
        <v>2.2292993630573332</v>
      </c>
      <c r="F100" s="10">
        <f t="shared" si="3"/>
        <v>5.0665894614939395</v>
      </c>
      <c r="G100" s="10">
        <v>8.2481388822747873E-2</v>
      </c>
      <c r="H100" s="11">
        <v>71.704745166959583</v>
      </c>
      <c r="I100" s="12">
        <v>0.32200000000000001</v>
      </c>
      <c r="J100" s="13">
        <f t="shared" si="4"/>
        <v>1.61</v>
      </c>
      <c r="K100" s="14">
        <f t="shared" si="5"/>
        <v>152.34821428500004</v>
      </c>
    </row>
    <row r="101" spans="1:11" x14ac:dyDescent="0.15">
      <c r="A101" s="51"/>
      <c r="B101" s="8">
        <v>100</v>
      </c>
      <c r="C101" s="9">
        <v>8.1999999999999993</v>
      </c>
      <c r="D101" s="10">
        <v>16.19047619047624</v>
      </c>
      <c r="E101" s="10">
        <v>3.1746031746031065</v>
      </c>
      <c r="F101" s="10">
        <f t="shared" si="3"/>
        <v>7.2150072150070601</v>
      </c>
      <c r="G101" s="10">
        <v>6.7580015437884472E-2</v>
      </c>
      <c r="H101" s="11">
        <v>73.575557390586297</v>
      </c>
      <c r="I101" s="12">
        <v>0.32</v>
      </c>
      <c r="J101" s="13">
        <f t="shared" si="4"/>
        <v>1.6</v>
      </c>
      <c r="K101" s="14">
        <f t="shared" si="5"/>
        <v>153.94821428500003</v>
      </c>
    </row>
    <row r="102" spans="1:11" x14ac:dyDescent="0.15">
      <c r="A102" s="51"/>
      <c r="B102" s="8">
        <v>101</v>
      </c>
      <c r="C102" s="28">
        <v>8.25</v>
      </c>
      <c r="D102" s="10">
        <v>16.393442622950815</v>
      </c>
      <c r="E102" s="10">
        <v>2.9508196721311419</v>
      </c>
      <c r="F102" s="10">
        <f t="shared" si="3"/>
        <v>6.7064083457525951</v>
      </c>
      <c r="G102" s="10">
        <v>9.6723677526542887E-2</v>
      </c>
      <c r="H102" s="11">
        <v>73.509369676320262</v>
      </c>
      <c r="I102" s="12">
        <v>0.311</v>
      </c>
      <c r="J102" s="13">
        <f t="shared" si="4"/>
        <v>1.5549999999999999</v>
      </c>
      <c r="K102" s="14">
        <f t="shared" si="5"/>
        <v>155.50321428500004</v>
      </c>
    </row>
    <row r="103" spans="1:11" x14ac:dyDescent="0.15">
      <c r="A103" s="51"/>
      <c r="B103" s="8">
        <v>102</v>
      </c>
      <c r="C103" s="9">
        <v>8.3000000000000007</v>
      </c>
      <c r="D103" s="10">
        <v>16.562500000000039</v>
      </c>
      <c r="E103" s="10">
        <v>3.4374999999999831</v>
      </c>
      <c r="F103" s="10">
        <f t="shared" si="3"/>
        <v>7.8124999999999618</v>
      </c>
      <c r="G103" s="10">
        <v>0.14909105734635925</v>
      </c>
      <c r="H103" s="11">
        <v>72.810675562969124</v>
      </c>
      <c r="I103" s="12">
        <v>0.32600000000000001</v>
      </c>
      <c r="J103" s="13">
        <f t="shared" si="4"/>
        <v>1.6300000000000001</v>
      </c>
      <c r="K103" s="14">
        <f t="shared" si="5"/>
        <v>157.13321428500004</v>
      </c>
    </row>
    <row r="104" spans="1:11" x14ac:dyDescent="0.15">
      <c r="A104" s="51"/>
      <c r="B104" s="8">
        <v>103</v>
      </c>
      <c r="C104" s="28">
        <v>8.35</v>
      </c>
      <c r="D104" s="10">
        <v>16.314199395770409</v>
      </c>
      <c r="E104" s="10">
        <v>3.6253776435045593</v>
      </c>
      <c r="F104" s="10">
        <f t="shared" si="3"/>
        <v>8.2394946443285431</v>
      </c>
      <c r="G104" s="10">
        <v>0.16983794438137526</v>
      </c>
      <c r="H104" s="11">
        <v>72.167487684729068</v>
      </c>
      <c r="I104" s="12">
        <v>0.33900000000000002</v>
      </c>
      <c r="J104" s="13">
        <f t="shared" si="4"/>
        <v>1.6950000000000001</v>
      </c>
      <c r="K104" s="14">
        <f t="shared" si="5"/>
        <v>158.82821428500003</v>
      </c>
    </row>
    <row r="105" spans="1:11" x14ac:dyDescent="0.15">
      <c r="A105" s="51"/>
      <c r="B105" s="8">
        <v>104</v>
      </c>
      <c r="C105" s="9">
        <v>8.4</v>
      </c>
      <c r="D105" s="10">
        <v>16.363636363636346</v>
      </c>
      <c r="E105" s="10">
        <v>3.3333333333333175</v>
      </c>
      <c r="F105" s="10">
        <f t="shared" si="3"/>
        <v>7.5757575757575397</v>
      </c>
      <c r="G105" s="10">
        <v>0.19328064829473598</v>
      </c>
      <c r="H105" s="11">
        <v>71.9866999168745</v>
      </c>
      <c r="I105" s="12">
        <v>0.33700000000000002</v>
      </c>
      <c r="J105" s="13">
        <f t="shared" si="4"/>
        <v>1.6850000000000001</v>
      </c>
      <c r="K105" s="14">
        <f t="shared" si="5"/>
        <v>160.51321428500003</v>
      </c>
    </row>
    <row r="106" spans="1:11" x14ac:dyDescent="0.15">
      <c r="A106" s="51"/>
      <c r="B106" s="8">
        <v>105</v>
      </c>
      <c r="C106" s="28">
        <v>8.4499999999999993</v>
      </c>
      <c r="D106" s="10">
        <v>16.716417910447777</v>
      </c>
      <c r="E106" s="10">
        <v>2.9850746268656616</v>
      </c>
      <c r="F106" s="10">
        <f t="shared" si="3"/>
        <v>6.7842605156037763</v>
      </c>
      <c r="G106" s="10">
        <v>0.17051601767479851</v>
      </c>
      <c r="H106" s="11">
        <v>71.308724832214764</v>
      </c>
      <c r="I106" s="12">
        <v>0.34200000000000003</v>
      </c>
      <c r="J106" s="13">
        <f t="shared" si="4"/>
        <v>1.7100000000000002</v>
      </c>
      <c r="K106" s="14">
        <f t="shared" si="5"/>
        <v>162.22321428500004</v>
      </c>
    </row>
    <row r="107" spans="1:11" x14ac:dyDescent="0.15">
      <c r="A107" s="51"/>
      <c r="B107" s="8">
        <v>106</v>
      </c>
      <c r="C107" s="9">
        <v>8.5</v>
      </c>
      <c r="D107" s="10">
        <v>17.00680272108843</v>
      </c>
      <c r="E107" s="10">
        <v>3.061224489795912</v>
      </c>
      <c r="F107" s="10">
        <f t="shared" si="3"/>
        <v>6.9573283858997996</v>
      </c>
      <c r="G107" s="10">
        <v>0.12763319021099526</v>
      </c>
      <c r="H107" s="11">
        <v>74.204643164230447</v>
      </c>
      <c r="I107" s="12">
        <v>0.3</v>
      </c>
      <c r="J107" s="13">
        <f t="shared" si="4"/>
        <v>1.5</v>
      </c>
      <c r="K107" s="14">
        <f t="shared" si="5"/>
        <v>163.72321428500004</v>
      </c>
    </row>
    <row r="108" spans="1:11" x14ac:dyDescent="0.15">
      <c r="A108" s="51"/>
      <c r="B108" s="8">
        <v>107</v>
      </c>
      <c r="C108" s="28">
        <v>8.5500000000000007</v>
      </c>
      <c r="D108" s="10">
        <v>17.021276595744641</v>
      </c>
      <c r="E108" s="10">
        <v>3.1914893617021245</v>
      </c>
      <c r="F108" s="10">
        <f t="shared" si="3"/>
        <v>7.2533849129593735</v>
      </c>
      <c r="G108" s="10">
        <v>0.124164408356587</v>
      </c>
      <c r="H108" s="11">
        <v>74.691358024691354</v>
      </c>
      <c r="I108" s="12">
        <v>0.28699999999999998</v>
      </c>
      <c r="J108" s="13">
        <f t="shared" si="4"/>
        <v>1.4349999999999998</v>
      </c>
      <c r="K108" s="14">
        <f t="shared" si="5"/>
        <v>165.15821428500004</v>
      </c>
    </row>
    <row r="109" spans="1:11" x14ac:dyDescent="0.15">
      <c r="A109" s="51"/>
      <c r="B109" s="8">
        <v>108</v>
      </c>
      <c r="C109" s="9">
        <v>8.6</v>
      </c>
      <c r="D109" s="10">
        <v>15.492957746478908</v>
      </c>
      <c r="E109" s="10">
        <v>3.5211267605633658</v>
      </c>
      <c r="F109" s="10">
        <f t="shared" si="3"/>
        <v>8.0025608194621949</v>
      </c>
      <c r="G109" s="10">
        <v>8.8992560736037257E-2</v>
      </c>
      <c r="H109" s="11">
        <v>75.10803802938635</v>
      </c>
      <c r="I109" s="12">
        <v>0.28799999999999998</v>
      </c>
      <c r="J109" s="13">
        <f t="shared" si="4"/>
        <v>1.44</v>
      </c>
      <c r="K109" s="14">
        <f t="shared" si="5"/>
        <v>166.59821428500004</v>
      </c>
    </row>
    <row r="110" spans="1:11" x14ac:dyDescent="0.15">
      <c r="A110" s="51"/>
      <c r="B110" s="8">
        <v>109</v>
      </c>
      <c r="C110" s="28">
        <v>8.65</v>
      </c>
      <c r="D110" s="10">
        <v>15.686274509803933</v>
      </c>
      <c r="E110" s="10">
        <v>2.6143790849673221</v>
      </c>
      <c r="F110" s="10">
        <f t="shared" si="3"/>
        <v>5.941770647653005</v>
      </c>
      <c r="G110" s="10">
        <v>5.7610510949392547E-2</v>
      </c>
      <c r="H110" s="11">
        <v>73.75946173254836</v>
      </c>
      <c r="I110" s="12">
        <v>0.312</v>
      </c>
      <c r="J110" s="13">
        <f t="shared" si="4"/>
        <v>1.56</v>
      </c>
      <c r="K110" s="14">
        <f t="shared" si="5"/>
        <v>168.15821428500004</v>
      </c>
    </row>
    <row r="111" spans="1:11" x14ac:dyDescent="0.15">
      <c r="A111" s="51"/>
      <c r="B111" s="8">
        <v>110</v>
      </c>
      <c r="C111" s="9">
        <v>8.6999999999999993</v>
      </c>
      <c r="D111" s="10">
        <v>14.596273291925435</v>
      </c>
      <c r="E111" s="10">
        <v>2.7950310559006177</v>
      </c>
      <c r="F111" s="10">
        <f t="shared" si="3"/>
        <v>6.3523433088650405</v>
      </c>
      <c r="G111" s="10">
        <v>8.6963837449658188E-2</v>
      </c>
      <c r="H111" s="11">
        <v>72.474747474747474</v>
      </c>
      <c r="I111" s="12">
        <v>0.32700000000000001</v>
      </c>
      <c r="J111" s="13">
        <f t="shared" si="4"/>
        <v>1.635</v>
      </c>
      <c r="K111" s="14">
        <f t="shared" si="5"/>
        <v>169.79321428500003</v>
      </c>
    </row>
    <row r="112" spans="1:11" x14ac:dyDescent="0.15">
      <c r="A112" s="51"/>
      <c r="B112" s="8">
        <v>111</v>
      </c>
      <c r="C112" s="28">
        <v>8.75</v>
      </c>
      <c r="D112" s="10">
        <v>15.673981191222582</v>
      </c>
      <c r="E112" s="10">
        <v>2.5078369905955595</v>
      </c>
      <c r="F112" s="10">
        <f t="shared" si="3"/>
        <v>5.6996295240808168</v>
      </c>
      <c r="G112" s="10">
        <v>0.1237455365130285</v>
      </c>
      <c r="H112" s="11">
        <v>72.410865874363324</v>
      </c>
      <c r="I112" s="12">
        <v>0.32500000000000001</v>
      </c>
      <c r="J112" s="13">
        <f t="shared" si="4"/>
        <v>1.625</v>
      </c>
      <c r="K112" s="14">
        <f t="shared" si="5"/>
        <v>171.41821428500003</v>
      </c>
    </row>
    <row r="113" spans="1:11" x14ac:dyDescent="0.15">
      <c r="A113" s="51"/>
      <c r="B113" s="8">
        <v>112</v>
      </c>
      <c r="C113" s="9">
        <v>8.8000000000000007</v>
      </c>
      <c r="D113" s="10">
        <v>16.776315789473731</v>
      </c>
      <c r="E113" s="10">
        <v>3.2894736842104555</v>
      </c>
      <c r="F113" s="10">
        <f t="shared" si="3"/>
        <v>7.4760765550237629</v>
      </c>
      <c r="G113" s="10">
        <v>0.11230292032682476</v>
      </c>
      <c r="H113" s="11">
        <v>73.029772329246924</v>
      </c>
      <c r="I113" s="12">
        <v>0.308</v>
      </c>
      <c r="J113" s="13">
        <f t="shared" si="4"/>
        <v>1.54</v>
      </c>
      <c r="K113" s="14">
        <f t="shared" si="5"/>
        <v>172.95821428500003</v>
      </c>
    </row>
    <row r="114" spans="1:11" x14ac:dyDescent="0.15">
      <c r="A114" s="51"/>
      <c r="B114" s="8">
        <v>113</v>
      </c>
      <c r="C114" s="28">
        <v>8.85</v>
      </c>
      <c r="D114" s="10">
        <v>16.613418530351421</v>
      </c>
      <c r="E114" s="10">
        <v>2.8753993610223589</v>
      </c>
      <c r="F114" s="10">
        <f t="shared" si="3"/>
        <v>6.5349985477780885</v>
      </c>
      <c r="G114" s="10">
        <v>9.4143704203540179E-2</v>
      </c>
      <c r="H114" s="11">
        <v>72.314410480349352</v>
      </c>
      <c r="I114" s="12">
        <v>0.317</v>
      </c>
      <c r="J114" s="13">
        <f t="shared" si="4"/>
        <v>1.585</v>
      </c>
      <c r="K114" s="14">
        <f t="shared" si="5"/>
        <v>174.54321428500003</v>
      </c>
    </row>
    <row r="115" spans="1:11" x14ac:dyDescent="0.15">
      <c r="A115" s="51"/>
      <c r="B115" s="8">
        <v>114</v>
      </c>
      <c r="C115" s="9">
        <v>8.9</v>
      </c>
      <c r="D115" s="10">
        <v>15.878378378378455</v>
      </c>
      <c r="E115" s="10">
        <v>2.702702702702644</v>
      </c>
      <c r="F115" s="10">
        <f t="shared" si="3"/>
        <v>6.1425061425060088</v>
      </c>
      <c r="G115" s="10">
        <v>6.1102691540524952E-2</v>
      </c>
      <c r="H115" s="11">
        <v>73.238180196253353</v>
      </c>
      <c r="I115" s="12">
        <v>0.3</v>
      </c>
      <c r="J115" s="13">
        <f t="shared" si="4"/>
        <v>1.5</v>
      </c>
      <c r="K115" s="14">
        <f t="shared" si="5"/>
        <v>176.04321428500003</v>
      </c>
    </row>
    <row r="116" spans="1:11" x14ac:dyDescent="0.15">
      <c r="A116" s="51"/>
      <c r="B116" s="8">
        <v>115</v>
      </c>
      <c r="C116" s="28">
        <v>8.9499999999999993</v>
      </c>
      <c r="D116" s="10">
        <v>16.000000000000007</v>
      </c>
      <c r="E116" s="10">
        <v>3.3333333333333783</v>
      </c>
      <c r="F116" s="10">
        <f t="shared" si="3"/>
        <v>7.5757575757576783</v>
      </c>
      <c r="G116" s="10">
        <v>7.889331284957235E-2</v>
      </c>
      <c r="H116" s="11">
        <v>73.770491803278702</v>
      </c>
      <c r="I116" s="12">
        <v>0.30399999999999999</v>
      </c>
      <c r="J116" s="13">
        <f t="shared" si="4"/>
        <v>1.52</v>
      </c>
      <c r="K116" s="14">
        <f t="shared" si="5"/>
        <v>177.56321428500004</v>
      </c>
    </row>
    <row r="117" spans="1:11" x14ac:dyDescent="0.15">
      <c r="A117" s="51"/>
      <c r="B117" s="8">
        <v>116</v>
      </c>
      <c r="C117" s="9">
        <v>9</v>
      </c>
      <c r="D117" s="10">
        <v>16.828478964401281</v>
      </c>
      <c r="E117" s="10">
        <v>3.8834951456311004</v>
      </c>
      <c r="F117" s="10">
        <f t="shared" si="3"/>
        <v>8.8261253309797745</v>
      </c>
      <c r="G117" s="10">
        <v>0.11536753949039875</v>
      </c>
      <c r="H117" s="11">
        <v>72.576419213973807</v>
      </c>
      <c r="I117" s="12">
        <v>0.314</v>
      </c>
      <c r="J117" s="13">
        <f t="shared" si="4"/>
        <v>1.57</v>
      </c>
      <c r="K117" s="14">
        <f t="shared" si="5"/>
        <v>179.13321428500004</v>
      </c>
    </row>
    <row r="118" spans="1:11" x14ac:dyDescent="0.15">
      <c r="A118" s="51"/>
      <c r="B118" s="8">
        <v>117</v>
      </c>
      <c r="C118" s="28">
        <v>9.0500000000000007</v>
      </c>
      <c r="D118" s="10">
        <v>17.554858934169342</v>
      </c>
      <c r="E118" s="10">
        <v>3.7617554858933353</v>
      </c>
      <c r="F118" s="10">
        <f t="shared" si="3"/>
        <v>8.5494442861212168</v>
      </c>
      <c r="G118" s="10">
        <v>0.15464253671738501</v>
      </c>
      <c r="H118" s="11">
        <v>72.811447811447806</v>
      </c>
      <c r="I118" s="12">
        <v>0.32300000000000001</v>
      </c>
      <c r="J118" s="13">
        <f t="shared" si="4"/>
        <v>1.615</v>
      </c>
      <c r="K118" s="14">
        <f t="shared" si="5"/>
        <v>180.74821428500005</v>
      </c>
    </row>
    <row r="119" spans="1:11" x14ac:dyDescent="0.15">
      <c r="A119" s="51"/>
      <c r="B119" s="8">
        <v>118</v>
      </c>
      <c r="C119" s="28">
        <v>9.15</v>
      </c>
      <c r="D119" s="10">
        <v>17.948717948718016</v>
      </c>
      <c r="E119" s="10">
        <v>3.525641025641006</v>
      </c>
      <c r="F119" s="10">
        <f t="shared" si="3"/>
        <v>8.0128205128204684</v>
      </c>
      <c r="G119" s="10">
        <v>0.12653366259789775</v>
      </c>
      <c r="H119" s="11">
        <v>72.601555747623166</v>
      </c>
      <c r="I119" s="12">
        <v>0.317</v>
      </c>
      <c r="J119" s="13">
        <f t="shared" si="4"/>
        <v>1.585</v>
      </c>
      <c r="K119" s="14">
        <f t="shared" si="5"/>
        <v>182.33321428500005</v>
      </c>
    </row>
    <row r="120" spans="1:11" x14ac:dyDescent="0.15">
      <c r="A120" s="51"/>
      <c r="B120" s="8">
        <v>119</v>
      </c>
      <c r="C120" s="9">
        <v>9.1999999999999993</v>
      </c>
      <c r="D120" s="10">
        <v>17.252396166134154</v>
      </c>
      <c r="E120" s="10">
        <v>3.8338658146965168</v>
      </c>
      <c r="F120" s="10">
        <f t="shared" si="3"/>
        <v>8.7133313970375372</v>
      </c>
      <c r="G120" s="10">
        <v>0.20084762236610901</v>
      </c>
      <c r="H120" s="11">
        <v>72.680412371134025</v>
      </c>
      <c r="I120" s="12">
        <v>0.318</v>
      </c>
      <c r="J120" s="13">
        <f t="shared" si="4"/>
        <v>1.59</v>
      </c>
      <c r="K120" s="14">
        <f t="shared" si="5"/>
        <v>183.92321428500006</v>
      </c>
    </row>
    <row r="121" spans="1:11" x14ac:dyDescent="0.15">
      <c r="A121" s="51"/>
      <c r="B121" s="8">
        <v>120</v>
      </c>
      <c r="C121" s="9">
        <v>9.2499999999999964</v>
      </c>
      <c r="D121" s="10">
        <v>15.666666666666737</v>
      </c>
      <c r="E121" s="10">
        <v>5.3333333333333348</v>
      </c>
      <c r="F121" s="10">
        <f t="shared" si="3"/>
        <v>12.121212121212125</v>
      </c>
      <c r="G121" s="10">
        <v>0.25573636803654776</v>
      </c>
      <c r="H121" s="11">
        <v>72.197309417040358</v>
      </c>
      <c r="I121" s="12">
        <v>0.31</v>
      </c>
      <c r="J121" s="13">
        <f t="shared" si="4"/>
        <v>1.55</v>
      </c>
      <c r="K121" s="14">
        <f t="shared" si="5"/>
        <v>185.47321428500007</v>
      </c>
    </row>
    <row r="122" spans="1:11" x14ac:dyDescent="0.15">
      <c r="A122" s="51"/>
      <c r="B122" s="8">
        <v>121</v>
      </c>
      <c r="C122" s="9">
        <v>9.2999999999999936</v>
      </c>
      <c r="D122" s="10">
        <v>17.465753424657475</v>
      </c>
      <c r="E122" s="10">
        <v>3.4246575342466263</v>
      </c>
      <c r="F122" s="10">
        <f t="shared" si="3"/>
        <v>7.7833125778332413</v>
      </c>
      <c r="G122" s="10">
        <v>0.2099388079919105</v>
      </c>
      <c r="H122" s="11">
        <v>73.393665158371036</v>
      </c>
      <c r="I122" s="12">
        <v>0.29399999999999998</v>
      </c>
      <c r="J122" s="13">
        <f t="shared" si="4"/>
        <v>1.47</v>
      </c>
      <c r="K122" s="14">
        <f t="shared" si="5"/>
        <v>186.94321428500007</v>
      </c>
    </row>
    <row r="123" spans="1:11" x14ac:dyDescent="0.15">
      <c r="A123" s="51"/>
      <c r="B123" s="8">
        <v>122</v>
      </c>
      <c r="C123" s="9">
        <v>9.35</v>
      </c>
      <c r="D123" s="10">
        <v>16.382252559726979</v>
      </c>
      <c r="E123" s="10">
        <v>3.4129692832764991</v>
      </c>
      <c r="F123" s="10">
        <f t="shared" si="3"/>
        <v>7.7567483710829528</v>
      </c>
      <c r="G123" s="10">
        <v>0.14435051027570073</v>
      </c>
      <c r="H123" s="11">
        <v>72.490706319702596</v>
      </c>
      <c r="I123" s="12">
        <v>0.29599999999999999</v>
      </c>
      <c r="J123" s="13">
        <f t="shared" si="4"/>
        <v>1.48</v>
      </c>
      <c r="K123" s="14">
        <f t="shared" si="5"/>
        <v>188.42321428500006</v>
      </c>
    </row>
    <row r="124" spans="1:11" x14ac:dyDescent="0.15">
      <c r="A124" s="51"/>
      <c r="B124" s="8">
        <v>123</v>
      </c>
      <c r="C124" s="26">
        <v>9.4</v>
      </c>
      <c r="D124" s="10">
        <v>15.161290322580609</v>
      </c>
      <c r="E124" s="10">
        <v>2.2580645161290418</v>
      </c>
      <c r="F124" s="10">
        <f t="shared" si="3"/>
        <v>5.1319648093841863</v>
      </c>
      <c r="G124" s="10">
        <v>8.7218923172857482E-2</v>
      </c>
      <c r="H124" s="11">
        <v>71.776375112714163</v>
      </c>
      <c r="I124" s="12">
        <v>0.313</v>
      </c>
      <c r="J124" s="13">
        <f t="shared" si="4"/>
        <v>1.5649999999999999</v>
      </c>
      <c r="K124" s="14">
        <f t="shared" si="5"/>
        <v>189.98821428500005</v>
      </c>
    </row>
    <row r="125" spans="1:11" x14ac:dyDescent="0.15">
      <c r="A125" s="51"/>
      <c r="B125" s="8">
        <v>124</v>
      </c>
      <c r="C125" s="9">
        <v>9.4499999999999993</v>
      </c>
      <c r="D125" s="10">
        <v>16.352201257861623</v>
      </c>
      <c r="E125" s="10">
        <v>1.8867924528302604</v>
      </c>
      <c r="F125" s="10">
        <f t="shared" si="3"/>
        <v>4.2881646655233192</v>
      </c>
      <c r="G125" s="10">
        <v>7.7742558496024655E-2</v>
      </c>
      <c r="H125" s="11">
        <v>72.241379310344826</v>
      </c>
      <c r="I125" s="12">
        <v>0.32200000000000001</v>
      </c>
      <c r="J125" s="13">
        <f t="shared" si="4"/>
        <v>1.61</v>
      </c>
      <c r="K125" s="14">
        <f t="shared" si="5"/>
        <v>191.59821428500007</v>
      </c>
    </row>
    <row r="126" spans="1:11" x14ac:dyDescent="0.15">
      <c r="A126" s="51"/>
      <c r="B126" s="8">
        <v>125</v>
      </c>
      <c r="C126" s="9">
        <v>9.5</v>
      </c>
      <c r="D126" s="10">
        <v>15.614617940199407</v>
      </c>
      <c r="E126" s="10">
        <v>4.3189368770763767</v>
      </c>
      <c r="F126" s="10">
        <f t="shared" si="3"/>
        <v>9.8157656297190385</v>
      </c>
      <c r="G126" s="10">
        <v>0.11863161742519975</v>
      </c>
      <c r="H126" s="11">
        <v>73.441502988898378</v>
      </c>
      <c r="I126" s="12">
        <v>0.311</v>
      </c>
      <c r="J126" s="13">
        <f t="shared" si="4"/>
        <v>1.5549999999999999</v>
      </c>
      <c r="K126" s="14">
        <f t="shared" si="5"/>
        <v>193.15321428500008</v>
      </c>
    </row>
    <row r="127" spans="1:11" x14ac:dyDescent="0.15">
      <c r="A127" s="51"/>
      <c r="B127" s="8">
        <v>126</v>
      </c>
      <c r="C127" s="9">
        <v>9.5500000000000007</v>
      </c>
      <c r="D127" s="10">
        <v>16.107382550335593</v>
      </c>
      <c r="E127" s="10">
        <v>4.0268456375838086</v>
      </c>
      <c r="F127" s="10">
        <f t="shared" si="3"/>
        <v>9.1519219035995647</v>
      </c>
      <c r="G127" s="10">
        <v>0.17855218657285099</v>
      </c>
      <c r="H127" s="11">
        <v>73.493975903614455</v>
      </c>
      <c r="I127" s="12">
        <v>0.308</v>
      </c>
      <c r="J127" s="13">
        <f t="shared" si="4"/>
        <v>1.54</v>
      </c>
      <c r="K127" s="14">
        <f t="shared" si="5"/>
        <v>194.69321428500007</v>
      </c>
    </row>
    <row r="128" spans="1:11" x14ac:dyDescent="0.15">
      <c r="A128" s="51"/>
      <c r="B128" s="8">
        <v>127</v>
      </c>
      <c r="C128" s="9">
        <v>9.6</v>
      </c>
      <c r="D128" s="10">
        <v>17.905405405405439</v>
      </c>
      <c r="E128" s="10">
        <v>3.7162162162161958</v>
      </c>
      <c r="F128" s="10">
        <f t="shared" si="3"/>
        <v>8.4459459459458994</v>
      </c>
      <c r="G128" s="10">
        <v>0.24171186842147074</v>
      </c>
      <c r="H128" s="11">
        <v>73.973799126637559</v>
      </c>
      <c r="I128" s="12">
        <v>0.29799999999999999</v>
      </c>
      <c r="J128" s="13">
        <f t="shared" si="4"/>
        <v>1.49</v>
      </c>
      <c r="K128" s="14">
        <f t="shared" si="5"/>
        <v>196.18321428500008</v>
      </c>
    </row>
    <row r="129" spans="1:11" x14ac:dyDescent="0.15">
      <c r="A129" s="51"/>
      <c r="B129" s="8">
        <v>128</v>
      </c>
      <c r="C129" s="9">
        <v>9.65</v>
      </c>
      <c r="D129" s="10">
        <v>17.52577319587623</v>
      </c>
      <c r="E129" s="10">
        <v>5.1546391752578078</v>
      </c>
      <c r="F129" s="10">
        <f t="shared" si="3"/>
        <v>11.715089034676836</v>
      </c>
      <c r="G129" s="10">
        <v>0.30772557323623195</v>
      </c>
      <c r="H129" s="11">
        <v>74.230430958663149</v>
      </c>
      <c r="I129" s="12">
        <v>0.29299999999999998</v>
      </c>
      <c r="J129" s="13">
        <f t="shared" si="4"/>
        <v>1.4649999999999999</v>
      </c>
      <c r="K129" s="14">
        <f t="shared" si="5"/>
        <v>197.64821428500008</v>
      </c>
    </row>
    <row r="130" spans="1:11" x14ac:dyDescent="0.15">
      <c r="A130" s="51"/>
      <c r="B130" s="8">
        <v>129</v>
      </c>
      <c r="C130" s="9">
        <v>9.6999999999999993</v>
      </c>
      <c r="D130" s="10">
        <v>16.725978647686908</v>
      </c>
      <c r="E130" s="10">
        <v>3.9145907473309371</v>
      </c>
      <c r="F130" s="10">
        <f t="shared" ref="F130:F193" si="6">E130/0.44</f>
        <v>8.896797153024858</v>
      </c>
      <c r="G130" s="10">
        <v>0.32049933544480325</v>
      </c>
      <c r="H130" s="11">
        <v>74.51669595782073</v>
      </c>
      <c r="I130" s="12">
        <v>0.28999999999999998</v>
      </c>
      <c r="J130" s="13">
        <f t="shared" si="4"/>
        <v>1.45</v>
      </c>
      <c r="K130" s="14">
        <f t="shared" si="5"/>
        <v>199.09821428500007</v>
      </c>
    </row>
    <row r="131" spans="1:11" x14ac:dyDescent="0.15">
      <c r="A131" s="51"/>
      <c r="B131" s="8">
        <v>130</v>
      </c>
      <c r="C131" s="9">
        <v>9.75</v>
      </c>
      <c r="D131" s="10">
        <v>16.608996539792397</v>
      </c>
      <c r="E131" s="10">
        <v>4.1522491349481303</v>
      </c>
      <c r="F131" s="10">
        <f t="shared" si="6"/>
        <v>9.4369298521548419</v>
      </c>
      <c r="G131" s="10">
        <v>0.28389989411591976</v>
      </c>
      <c r="H131" s="11">
        <v>73.970201577563543</v>
      </c>
      <c r="I131" s="12">
        <v>0.29699999999999999</v>
      </c>
      <c r="J131" s="13">
        <f t="shared" si="4"/>
        <v>1.4849999999999999</v>
      </c>
      <c r="K131" s="14">
        <f t="shared" si="5"/>
        <v>200.58321428500008</v>
      </c>
    </row>
    <row r="132" spans="1:11" x14ac:dyDescent="0.15">
      <c r="A132" s="51"/>
      <c r="B132" s="8">
        <v>131</v>
      </c>
      <c r="C132" s="9">
        <v>9.8000000000000007</v>
      </c>
      <c r="D132" s="10">
        <v>15.24163568773235</v>
      </c>
      <c r="E132" s="10">
        <v>4.4609665427508345</v>
      </c>
      <c r="F132" s="10">
        <f t="shared" si="6"/>
        <v>10.138560324433715</v>
      </c>
      <c r="G132" s="10">
        <v>0.31159184393860373</v>
      </c>
      <c r="H132" s="11">
        <v>75.659050966608078</v>
      </c>
      <c r="I132" s="12">
        <v>0.27700000000000002</v>
      </c>
      <c r="J132" s="13">
        <f t="shared" ref="J132:J195" si="7">I132*5</f>
        <v>1.3850000000000002</v>
      </c>
      <c r="K132" s="14">
        <f t="shared" ref="K132:K195" si="8">J132+K131</f>
        <v>201.96821428500007</v>
      </c>
    </row>
    <row r="133" spans="1:11" x14ac:dyDescent="0.15">
      <c r="A133" s="51"/>
      <c r="B133" s="8">
        <v>132</v>
      </c>
      <c r="C133" s="9">
        <v>9.85</v>
      </c>
      <c r="D133" s="10">
        <v>12.688821752265811</v>
      </c>
      <c r="E133" s="10">
        <v>4.8338368580060482</v>
      </c>
      <c r="F133" s="10">
        <f t="shared" si="6"/>
        <v>10.985992859104655</v>
      </c>
      <c r="G133" s="10">
        <v>0.32444396238849876</v>
      </c>
      <c r="H133" s="11">
        <v>75.256849315068493</v>
      </c>
      <c r="I133" s="12">
        <v>0.28899999999999998</v>
      </c>
      <c r="J133" s="13">
        <f t="shared" si="7"/>
        <v>1.4449999999999998</v>
      </c>
      <c r="K133" s="14">
        <f t="shared" si="8"/>
        <v>203.41321428500007</v>
      </c>
    </row>
    <row r="134" spans="1:11" x14ac:dyDescent="0.15">
      <c r="A134" s="51"/>
      <c r="B134" s="8">
        <v>133</v>
      </c>
      <c r="C134" s="9">
        <v>9.9</v>
      </c>
      <c r="D134" s="10">
        <v>15.410958904109679</v>
      </c>
      <c r="E134" s="10">
        <v>6.5068493150684112</v>
      </c>
      <c r="F134" s="10">
        <f t="shared" si="6"/>
        <v>14.788293897882753</v>
      </c>
      <c r="G134" s="10">
        <v>0.26390627467855571</v>
      </c>
      <c r="H134" s="11">
        <v>74.048442906574394</v>
      </c>
      <c r="I134" s="12">
        <v>0.3</v>
      </c>
      <c r="J134" s="13">
        <f t="shared" si="7"/>
        <v>1.5</v>
      </c>
      <c r="K134" s="14">
        <f t="shared" si="8"/>
        <v>204.91321428500007</v>
      </c>
    </row>
    <row r="135" spans="1:11" x14ac:dyDescent="0.15">
      <c r="A135" s="51"/>
      <c r="B135" s="8">
        <v>134</v>
      </c>
      <c r="C135" s="9">
        <v>9.9499999999999993</v>
      </c>
      <c r="D135" s="10">
        <v>14.950166112956778</v>
      </c>
      <c r="E135" s="10">
        <v>3.9867109634551805</v>
      </c>
      <c r="F135" s="10">
        <f t="shared" si="6"/>
        <v>9.0607067351254109</v>
      </c>
      <c r="G135" s="10">
        <v>0.24177090562921774</v>
      </c>
      <c r="H135" s="11">
        <v>73.006134969325146</v>
      </c>
      <c r="I135" s="12">
        <v>0.308</v>
      </c>
      <c r="J135" s="13">
        <f t="shared" si="7"/>
        <v>1.54</v>
      </c>
      <c r="K135" s="14">
        <f t="shared" si="8"/>
        <v>206.45321428500006</v>
      </c>
    </row>
    <row r="136" spans="1:11" x14ac:dyDescent="0.15">
      <c r="A136" s="51"/>
      <c r="B136" s="8">
        <v>135</v>
      </c>
      <c r="C136" s="9">
        <v>10</v>
      </c>
      <c r="D136" s="10">
        <v>14.827586206896548</v>
      </c>
      <c r="E136" s="10">
        <v>4.4827586206896228</v>
      </c>
      <c r="F136" s="10">
        <f t="shared" si="6"/>
        <v>10.188087774294598</v>
      </c>
      <c r="G136" s="10">
        <v>0.15699520496546598</v>
      </c>
      <c r="H136" s="11">
        <v>73.333333333333343</v>
      </c>
      <c r="I136" s="12">
        <v>0.29599999999999999</v>
      </c>
      <c r="J136" s="13">
        <f t="shared" si="7"/>
        <v>1.48</v>
      </c>
      <c r="K136" s="14">
        <f t="shared" si="8"/>
        <v>207.93321428500005</v>
      </c>
    </row>
    <row r="137" spans="1:11" x14ac:dyDescent="0.15">
      <c r="A137" s="51"/>
      <c r="B137" s="8">
        <v>136</v>
      </c>
      <c r="C137" s="9">
        <v>10.050000000000001</v>
      </c>
      <c r="D137" s="10">
        <v>14.189189189189131</v>
      </c>
      <c r="E137" s="10">
        <v>4.3918918918919791</v>
      </c>
      <c r="F137" s="10">
        <f t="shared" si="6"/>
        <v>9.9815724815726803</v>
      </c>
      <c r="G137" s="10">
        <v>9.2496118594974974E-2</v>
      </c>
      <c r="H137" s="11">
        <v>73.834196891191709</v>
      </c>
      <c r="I137" s="12">
        <v>0.30299999999999999</v>
      </c>
      <c r="J137" s="13">
        <f t="shared" si="7"/>
        <v>1.5149999999999999</v>
      </c>
      <c r="K137" s="14">
        <f t="shared" si="8"/>
        <v>209.44821428500003</v>
      </c>
    </row>
    <row r="138" spans="1:11" x14ac:dyDescent="0.15">
      <c r="A138" s="52"/>
      <c r="B138" s="15">
        <v>137</v>
      </c>
      <c r="C138" s="16">
        <v>10.25</v>
      </c>
      <c r="D138" s="17">
        <v>13.043478260869549</v>
      </c>
      <c r="E138" s="17">
        <v>4.0579710144927708</v>
      </c>
      <c r="F138" s="17">
        <f t="shared" si="6"/>
        <v>9.2226613965744786</v>
      </c>
      <c r="G138" s="17">
        <v>7.8242922084933386E-2</v>
      </c>
      <c r="H138" s="18">
        <v>69.513236549957313</v>
      </c>
      <c r="I138" s="19">
        <v>0.35699999999999998</v>
      </c>
      <c r="J138" s="20">
        <f t="shared" si="7"/>
        <v>1.7849999999999999</v>
      </c>
      <c r="K138" s="21">
        <f t="shared" si="8"/>
        <v>211.23321428500003</v>
      </c>
    </row>
    <row r="139" spans="1:11" x14ac:dyDescent="0.15">
      <c r="A139" s="50"/>
      <c r="B139" s="2">
        <v>138</v>
      </c>
      <c r="C139" s="29">
        <v>10.3</v>
      </c>
      <c r="D139" s="4">
        <v>12.349397590361443</v>
      </c>
      <c r="E139" s="4">
        <v>4.2168674698795323</v>
      </c>
      <c r="F139" s="4">
        <f t="shared" si="6"/>
        <v>9.5837897042716644</v>
      </c>
      <c r="G139" s="4">
        <v>8.6089070964120648E-2</v>
      </c>
      <c r="H139" s="22">
        <v>70.608397600685521</v>
      </c>
      <c r="I139" s="23">
        <v>0.34300000000000003</v>
      </c>
      <c r="J139" s="24">
        <f t="shared" si="7"/>
        <v>1.7150000000000001</v>
      </c>
      <c r="K139" s="25">
        <f t="shared" si="8"/>
        <v>212.94821428500003</v>
      </c>
    </row>
    <row r="140" spans="1:11" x14ac:dyDescent="0.15">
      <c r="A140" s="51"/>
      <c r="B140" s="8">
        <v>139</v>
      </c>
      <c r="C140" s="9">
        <v>10.350000000000001</v>
      </c>
      <c r="D140" s="10">
        <v>13.981762917933152</v>
      </c>
      <c r="E140" s="10">
        <v>3.6474164133738891</v>
      </c>
      <c r="F140" s="10">
        <f t="shared" si="6"/>
        <v>8.2895827576679295</v>
      </c>
      <c r="G140" s="10">
        <v>0.11687310776792559</v>
      </c>
      <c r="H140" s="11">
        <v>71.321070234113705</v>
      </c>
      <c r="I140" s="12">
        <v>0.34300000000000003</v>
      </c>
      <c r="J140" s="13">
        <f t="shared" si="7"/>
        <v>1.7150000000000001</v>
      </c>
      <c r="K140" s="14">
        <f t="shared" si="8"/>
        <v>214.66321428500004</v>
      </c>
    </row>
    <row r="141" spans="1:11" x14ac:dyDescent="0.15">
      <c r="A141" s="51"/>
      <c r="B141" s="8">
        <v>140</v>
      </c>
      <c r="C141" s="9">
        <v>10.400000000000002</v>
      </c>
      <c r="D141" s="10">
        <v>14.534883720930234</v>
      </c>
      <c r="E141" s="10">
        <v>4.6511627906976791</v>
      </c>
      <c r="F141" s="10">
        <f t="shared" si="6"/>
        <v>10.570824524312908</v>
      </c>
      <c r="G141" s="10">
        <v>0.12466749476702564</v>
      </c>
      <c r="H141" s="11">
        <v>70.857142857142861</v>
      </c>
      <c r="I141" s="12">
        <v>0.35699999999999998</v>
      </c>
      <c r="J141" s="13">
        <f t="shared" si="7"/>
        <v>1.7849999999999999</v>
      </c>
      <c r="K141" s="14">
        <f t="shared" si="8"/>
        <v>216.44821428500003</v>
      </c>
    </row>
    <row r="142" spans="1:11" x14ac:dyDescent="0.15">
      <c r="A142" s="51"/>
      <c r="B142" s="8">
        <v>141</v>
      </c>
      <c r="C142" s="9">
        <v>10.450000000000003</v>
      </c>
      <c r="D142" s="10">
        <v>13.988095238095314</v>
      </c>
      <c r="E142" s="10">
        <v>4.7619047619047672</v>
      </c>
      <c r="F142" s="10">
        <f t="shared" si="6"/>
        <v>10.822510822510834</v>
      </c>
      <c r="G142" s="10">
        <v>0.10700137416801779</v>
      </c>
      <c r="H142" s="11">
        <v>69.913793103448285</v>
      </c>
      <c r="I142" s="12">
        <v>0.34899999999999998</v>
      </c>
      <c r="J142" s="13">
        <f t="shared" si="7"/>
        <v>1.7449999999999999</v>
      </c>
      <c r="K142" s="14">
        <f t="shared" si="8"/>
        <v>218.19321428500004</v>
      </c>
    </row>
    <row r="143" spans="1:11" x14ac:dyDescent="0.15">
      <c r="A143" s="51"/>
      <c r="B143" s="8">
        <v>142</v>
      </c>
      <c r="C143" s="9">
        <v>10.500000000000004</v>
      </c>
      <c r="D143" s="10">
        <v>13.994169096209919</v>
      </c>
      <c r="E143" s="10">
        <v>4.6647230320699729</v>
      </c>
      <c r="F143" s="10">
        <f t="shared" si="6"/>
        <v>10.601643254704484</v>
      </c>
      <c r="G143" s="10">
        <v>7.3961138208549604E-2</v>
      </c>
      <c r="H143" s="11">
        <v>71.16013071895425</v>
      </c>
      <c r="I143" s="12">
        <v>0.35299999999999998</v>
      </c>
      <c r="J143" s="13">
        <f t="shared" si="7"/>
        <v>1.7649999999999999</v>
      </c>
      <c r="K143" s="14">
        <f t="shared" si="8"/>
        <v>219.95821428500003</v>
      </c>
    </row>
    <row r="144" spans="1:11" x14ac:dyDescent="0.15">
      <c r="A144" s="51"/>
      <c r="B144" s="8">
        <v>143</v>
      </c>
      <c r="C144" s="9">
        <v>10.550000000000004</v>
      </c>
      <c r="D144" s="10">
        <v>13.372093023255834</v>
      </c>
      <c r="E144" s="10">
        <v>3.7790697674418303</v>
      </c>
      <c r="F144" s="10">
        <f t="shared" si="6"/>
        <v>8.5887949260041605</v>
      </c>
      <c r="G144" s="10">
        <v>7.6070530459089042E-2</v>
      </c>
      <c r="H144" s="11">
        <v>69.983136593591922</v>
      </c>
      <c r="I144" s="12">
        <v>0.35599999999999998</v>
      </c>
      <c r="J144" s="13">
        <f t="shared" si="7"/>
        <v>1.7799999999999998</v>
      </c>
      <c r="K144" s="14">
        <f t="shared" si="8"/>
        <v>221.73821428500003</v>
      </c>
    </row>
    <row r="145" spans="1:11" x14ac:dyDescent="0.15">
      <c r="A145" s="51"/>
      <c r="B145" s="8">
        <v>144</v>
      </c>
      <c r="C145" s="9">
        <v>10.600000000000005</v>
      </c>
      <c r="D145" s="10">
        <v>13.235294117647037</v>
      </c>
      <c r="E145" s="10">
        <v>3.8235294117647802</v>
      </c>
      <c r="F145" s="10">
        <f t="shared" si="6"/>
        <v>8.6898395721926818</v>
      </c>
      <c r="G145" s="10">
        <v>6.2301928656461877E-2</v>
      </c>
      <c r="H145" s="11">
        <v>69.864176570458412</v>
      </c>
      <c r="I145" s="12">
        <v>0.35499999999999998</v>
      </c>
      <c r="J145" s="13">
        <f t="shared" si="7"/>
        <v>1.7749999999999999</v>
      </c>
      <c r="K145" s="14">
        <f t="shared" si="8"/>
        <v>223.51321428500003</v>
      </c>
    </row>
    <row r="146" spans="1:11" x14ac:dyDescent="0.15">
      <c r="A146" s="51"/>
      <c r="B146" s="8">
        <v>145</v>
      </c>
      <c r="C146" s="9">
        <v>10.650000000000006</v>
      </c>
      <c r="D146" s="10">
        <v>12.676056338028147</v>
      </c>
      <c r="E146" s="10">
        <v>4.2253521126761155</v>
      </c>
      <c r="F146" s="10">
        <f t="shared" si="6"/>
        <v>9.6030729833548083</v>
      </c>
      <c r="G146" s="10">
        <v>6.9893520781160373E-2</v>
      </c>
      <c r="H146" s="11">
        <v>69.801980198019805</v>
      </c>
      <c r="I146" s="12">
        <v>0.36599999999999999</v>
      </c>
      <c r="J146" s="13">
        <f t="shared" si="7"/>
        <v>1.83</v>
      </c>
      <c r="K146" s="14">
        <f t="shared" si="8"/>
        <v>225.34321428500004</v>
      </c>
    </row>
    <row r="147" spans="1:11" x14ac:dyDescent="0.15">
      <c r="A147" s="51"/>
      <c r="B147" s="8">
        <v>146</v>
      </c>
      <c r="C147" s="9">
        <v>10.700000000000006</v>
      </c>
      <c r="D147" s="10">
        <v>13.988095238095305</v>
      </c>
      <c r="E147" s="10">
        <v>4.4642857142856709</v>
      </c>
      <c r="F147" s="10">
        <f t="shared" si="6"/>
        <v>10.146103896103797</v>
      </c>
      <c r="G147" s="10">
        <v>6.5716293721581887E-2</v>
      </c>
      <c r="H147" s="11">
        <v>70.791245791245785</v>
      </c>
      <c r="I147" s="12">
        <v>0.34699999999999998</v>
      </c>
      <c r="J147" s="13">
        <f t="shared" si="7"/>
        <v>1.7349999999999999</v>
      </c>
      <c r="K147" s="14">
        <f t="shared" si="8"/>
        <v>227.07821428500006</v>
      </c>
    </row>
    <row r="148" spans="1:11" x14ac:dyDescent="0.15">
      <c r="A148" s="51"/>
      <c r="B148" s="8">
        <v>147</v>
      </c>
      <c r="C148" s="9">
        <v>10.750000000000007</v>
      </c>
      <c r="D148" s="10">
        <v>13.313609467455603</v>
      </c>
      <c r="E148" s="10">
        <v>3.8461538461538178</v>
      </c>
      <c r="F148" s="10">
        <f t="shared" si="6"/>
        <v>8.741258741258676</v>
      </c>
      <c r="G148" s="10">
        <v>4.8614544692241315E-2</v>
      </c>
      <c r="H148" s="11">
        <v>71.037344398340252</v>
      </c>
      <c r="I148" s="12">
        <v>0.34899999999999998</v>
      </c>
      <c r="J148" s="13">
        <f t="shared" si="7"/>
        <v>1.7449999999999999</v>
      </c>
      <c r="K148" s="14">
        <f t="shared" si="8"/>
        <v>228.82321428500006</v>
      </c>
    </row>
    <row r="149" spans="1:11" x14ac:dyDescent="0.15">
      <c r="A149" s="51"/>
      <c r="B149" s="8">
        <v>148</v>
      </c>
      <c r="C149" s="9">
        <v>10.800000000000008</v>
      </c>
      <c r="D149" s="10">
        <v>12.865497076023431</v>
      </c>
      <c r="E149" s="10">
        <v>3.8011695906432457</v>
      </c>
      <c r="F149" s="10">
        <f t="shared" si="6"/>
        <v>8.6390217969164667</v>
      </c>
      <c r="G149" s="10">
        <v>4.613420306166674E-2</v>
      </c>
      <c r="H149" s="11">
        <v>71.278317152103568</v>
      </c>
      <c r="I149" s="12">
        <v>0.35499999999999998</v>
      </c>
      <c r="J149" s="13">
        <f t="shared" si="7"/>
        <v>1.7749999999999999</v>
      </c>
      <c r="K149" s="14">
        <f t="shared" si="8"/>
        <v>230.59821428500007</v>
      </c>
    </row>
    <row r="150" spans="1:11" x14ac:dyDescent="0.15">
      <c r="A150" s="51"/>
      <c r="B150" s="8">
        <v>149</v>
      </c>
      <c r="C150" s="9">
        <v>10.850000000000009</v>
      </c>
      <c r="D150" s="10">
        <v>12.790697674418542</v>
      </c>
      <c r="E150" s="10">
        <v>3.7790697674419351</v>
      </c>
      <c r="F150" s="10">
        <f t="shared" si="6"/>
        <v>8.5887949260043985</v>
      </c>
      <c r="G150" s="10">
        <v>4.5432597247900469E-2</v>
      </c>
      <c r="H150" s="11">
        <v>69.820971867007685</v>
      </c>
      <c r="I150" s="12">
        <v>0.35399999999999998</v>
      </c>
      <c r="J150" s="13">
        <f t="shared" si="7"/>
        <v>1.77</v>
      </c>
      <c r="K150" s="14">
        <f t="shared" si="8"/>
        <v>232.36821428500008</v>
      </c>
    </row>
    <row r="151" spans="1:11" x14ac:dyDescent="0.15">
      <c r="A151" s="51"/>
      <c r="B151" s="8">
        <v>150</v>
      </c>
      <c r="C151" s="9">
        <v>10.900000000000009</v>
      </c>
      <c r="D151" s="10">
        <v>11.671087533156529</v>
      </c>
      <c r="E151" s="10">
        <v>3.9787798408487673</v>
      </c>
      <c r="F151" s="10">
        <f t="shared" si="6"/>
        <v>9.0426814564744706</v>
      </c>
      <c r="G151" s="10">
        <v>5.0338365316348048E-2</v>
      </c>
      <c r="H151" s="11">
        <v>68.929712460063897</v>
      </c>
      <c r="I151" s="12">
        <v>0.38900000000000001</v>
      </c>
      <c r="J151" s="13">
        <f t="shared" si="7"/>
        <v>1.9450000000000001</v>
      </c>
      <c r="K151" s="14">
        <f t="shared" si="8"/>
        <v>234.31321428500007</v>
      </c>
    </row>
    <row r="152" spans="1:11" x14ac:dyDescent="0.15">
      <c r="A152" s="51"/>
      <c r="B152" s="8">
        <v>151</v>
      </c>
      <c r="C152" s="9">
        <v>10.95000000000001</v>
      </c>
      <c r="D152" s="10">
        <v>13.623188405797071</v>
      </c>
      <c r="E152" s="10">
        <v>4.3478260869564815</v>
      </c>
      <c r="F152" s="10">
        <f t="shared" si="6"/>
        <v>9.881422924901095</v>
      </c>
      <c r="G152" s="10">
        <v>4.1988534615049609E-2</v>
      </c>
      <c r="H152" s="11">
        <v>70.671085335542671</v>
      </c>
      <c r="I152" s="12">
        <v>0.35399999999999998</v>
      </c>
      <c r="J152" s="13">
        <f t="shared" si="7"/>
        <v>1.77</v>
      </c>
      <c r="K152" s="14">
        <f t="shared" si="8"/>
        <v>236.08321428500008</v>
      </c>
    </row>
    <row r="153" spans="1:11" x14ac:dyDescent="0.15">
      <c r="A153" s="51"/>
      <c r="B153" s="8">
        <v>152</v>
      </c>
      <c r="C153" s="9">
        <v>11.000000000000011</v>
      </c>
      <c r="D153" s="10">
        <v>13.709677419354879</v>
      </c>
      <c r="E153" s="10">
        <v>3.2258064516128337</v>
      </c>
      <c r="F153" s="10">
        <f t="shared" si="6"/>
        <v>7.3313782991200771</v>
      </c>
      <c r="G153" s="10">
        <v>3.4645444000710693E-2</v>
      </c>
      <c r="H153" s="11">
        <v>71.159638554216883</v>
      </c>
      <c r="I153" s="12">
        <v>0.38300000000000001</v>
      </c>
      <c r="J153" s="13">
        <f t="shared" si="7"/>
        <v>1.915</v>
      </c>
      <c r="K153" s="14">
        <f t="shared" si="8"/>
        <v>237.99821428500007</v>
      </c>
    </row>
    <row r="154" spans="1:11" x14ac:dyDescent="0.15">
      <c r="A154" s="51"/>
      <c r="B154" s="8">
        <v>153</v>
      </c>
      <c r="C154" s="28">
        <v>11.050000000000011</v>
      </c>
      <c r="D154" s="10">
        <v>12.776412776412766</v>
      </c>
      <c r="E154" s="10">
        <v>4.6683046683046996</v>
      </c>
      <c r="F154" s="10">
        <f t="shared" si="6"/>
        <v>10.609783337056136</v>
      </c>
      <c r="G154" s="10">
        <v>4.1059921733038775E-2</v>
      </c>
      <c r="H154" s="11">
        <v>68.40926064227034</v>
      </c>
      <c r="I154" s="12">
        <v>0.42299999999999999</v>
      </c>
      <c r="J154" s="13">
        <f t="shared" si="7"/>
        <v>2.1149999999999998</v>
      </c>
      <c r="K154" s="14">
        <f t="shared" si="8"/>
        <v>240.11321428500008</v>
      </c>
    </row>
    <row r="155" spans="1:11" x14ac:dyDescent="0.15">
      <c r="A155" s="51"/>
      <c r="B155" s="8">
        <v>154</v>
      </c>
      <c r="C155" s="28">
        <v>11.25</v>
      </c>
      <c r="D155" s="10">
        <v>13.031161473087838</v>
      </c>
      <c r="E155" s="10">
        <v>3.6827195467421801</v>
      </c>
      <c r="F155" s="10">
        <f t="shared" si="6"/>
        <v>8.3698171516867728</v>
      </c>
      <c r="G155" s="10">
        <v>3.9843996635453294E-2</v>
      </c>
      <c r="H155" s="11">
        <v>69.648829431438131</v>
      </c>
      <c r="I155" s="12">
        <v>0.36299999999999999</v>
      </c>
      <c r="J155" s="13">
        <f t="shared" si="7"/>
        <v>1.8149999999999999</v>
      </c>
      <c r="K155" s="14">
        <f t="shared" si="8"/>
        <v>241.92821428500008</v>
      </c>
    </row>
    <row r="156" spans="1:11" x14ac:dyDescent="0.15">
      <c r="A156" s="51"/>
      <c r="B156" s="8">
        <v>155</v>
      </c>
      <c r="C156" s="9">
        <v>11.3</v>
      </c>
      <c r="D156" s="10">
        <v>11.979166666666602</v>
      </c>
      <c r="E156" s="10">
        <v>3.9062500000000577</v>
      </c>
      <c r="F156" s="10">
        <f t="shared" si="6"/>
        <v>8.8778409090910397</v>
      </c>
      <c r="G156" s="10">
        <v>3.8359357879659106E-2</v>
      </c>
      <c r="H156" s="11">
        <v>67.671009771986959</v>
      </c>
      <c r="I156" s="12">
        <v>0.39700000000000002</v>
      </c>
      <c r="J156" s="13">
        <f t="shared" si="7"/>
        <v>1.9850000000000001</v>
      </c>
      <c r="K156" s="14">
        <f t="shared" si="8"/>
        <v>243.91321428500009</v>
      </c>
    </row>
    <row r="157" spans="1:11" x14ac:dyDescent="0.15">
      <c r="A157" s="51"/>
      <c r="B157" s="8">
        <v>156</v>
      </c>
      <c r="C157" s="9">
        <v>11.350000000000001</v>
      </c>
      <c r="D157" s="10">
        <v>12.777777777777704</v>
      </c>
      <c r="E157" s="10">
        <v>3.6111111111111822</v>
      </c>
      <c r="F157" s="10">
        <f t="shared" si="6"/>
        <v>8.2070707070708693</v>
      </c>
      <c r="G157" s="10">
        <v>3.8394611170744553E-2</v>
      </c>
      <c r="H157" s="11">
        <v>69.243557772236073</v>
      </c>
      <c r="I157" s="12">
        <v>0.37</v>
      </c>
      <c r="J157" s="13">
        <f t="shared" si="7"/>
        <v>1.85</v>
      </c>
      <c r="K157" s="14">
        <f t="shared" si="8"/>
        <v>245.76321428500009</v>
      </c>
    </row>
    <row r="158" spans="1:11" x14ac:dyDescent="0.15">
      <c r="A158" s="51"/>
      <c r="B158" s="8">
        <v>157</v>
      </c>
      <c r="C158" s="9">
        <v>11.400000000000002</v>
      </c>
      <c r="D158" s="10">
        <v>11.302211302211322</v>
      </c>
      <c r="E158" s="10">
        <v>3.68550368550365</v>
      </c>
      <c r="F158" s="10">
        <f t="shared" si="6"/>
        <v>8.3761447397810223</v>
      </c>
      <c r="G158" s="10">
        <v>5.4864128668287479E-2</v>
      </c>
      <c r="H158" s="11">
        <v>67.130703789636499</v>
      </c>
      <c r="I158" s="12">
        <v>0.42499999999999999</v>
      </c>
      <c r="J158" s="13">
        <f t="shared" si="7"/>
        <v>2.125</v>
      </c>
      <c r="K158" s="14">
        <f t="shared" si="8"/>
        <v>247.88821428500009</v>
      </c>
    </row>
    <row r="159" spans="1:11" x14ac:dyDescent="0.15">
      <c r="A159" s="51"/>
      <c r="B159" s="8">
        <v>158</v>
      </c>
      <c r="C159" s="9">
        <v>11.450000000000003</v>
      </c>
      <c r="D159" s="10">
        <v>12.285012285012284</v>
      </c>
      <c r="E159" s="10">
        <v>5.8968058968058585</v>
      </c>
      <c r="F159" s="10">
        <f t="shared" si="6"/>
        <v>13.401831583649679</v>
      </c>
      <c r="G159" s="10">
        <v>8.713617683170613E-2</v>
      </c>
      <c r="H159" s="11">
        <v>66.016260162601625</v>
      </c>
      <c r="I159" s="12">
        <v>0.41799999999999998</v>
      </c>
      <c r="J159" s="13">
        <f t="shared" si="7"/>
        <v>2.09</v>
      </c>
      <c r="K159" s="14">
        <f t="shared" si="8"/>
        <v>249.97821428500009</v>
      </c>
    </row>
    <row r="160" spans="1:11" x14ac:dyDescent="0.15">
      <c r="A160" s="51"/>
      <c r="B160" s="8">
        <v>159</v>
      </c>
      <c r="C160" s="9">
        <v>11.500000000000004</v>
      </c>
      <c r="D160" s="10">
        <v>12.500000000000025</v>
      </c>
      <c r="E160" s="10">
        <v>4.8913043478260798</v>
      </c>
      <c r="F160" s="10">
        <f t="shared" si="6"/>
        <v>11.116600790513818</v>
      </c>
      <c r="G160" s="10">
        <v>4.41341061894144E-2</v>
      </c>
      <c r="H160" s="11">
        <v>67.911714770797971</v>
      </c>
      <c r="I160" s="12">
        <v>0.378</v>
      </c>
      <c r="J160" s="13">
        <f t="shared" si="7"/>
        <v>1.8900000000000001</v>
      </c>
      <c r="K160" s="14">
        <f t="shared" si="8"/>
        <v>251.86821428500008</v>
      </c>
    </row>
    <row r="161" spans="1:11" x14ac:dyDescent="0.15">
      <c r="A161" s="51"/>
      <c r="B161" s="8">
        <v>160</v>
      </c>
      <c r="C161" s="9">
        <v>11.550000000000004</v>
      </c>
      <c r="D161" s="10">
        <v>12.189054726368122</v>
      </c>
      <c r="E161" s="10">
        <v>3.9800995024875663</v>
      </c>
      <c r="F161" s="10">
        <f t="shared" si="6"/>
        <v>9.0456806874717408</v>
      </c>
      <c r="G161" s="10">
        <v>5.0357078505886353E-2</v>
      </c>
      <c r="H161" s="11">
        <v>66.47773279352225</v>
      </c>
      <c r="I161" s="12">
        <v>0.41399999999999998</v>
      </c>
      <c r="J161" s="13">
        <f t="shared" si="7"/>
        <v>2.0699999999999998</v>
      </c>
      <c r="K161" s="14">
        <f t="shared" si="8"/>
        <v>253.93821428500007</v>
      </c>
    </row>
    <row r="162" spans="1:11" x14ac:dyDescent="0.15">
      <c r="A162" s="51"/>
      <c r="B162" s="8">
        <v>161</v>
      </c>
      <c r="C162" s="9">
        <v>11.600000000000005</v>
      </c>
      <c r="D162" s="10">
        <v>12.142857142857096</v>
      </c>
      <c r="E162" s="10">
        <v>4.5238095238095548</v>
      </c>
      <c r="F162" s="10">
        <f t="shared" si="6"/>
        <v>10.281385281385353</v>
      </c>
      <c r="G162" s="10">
        <v>5.2655818414530507E-2</v>
      </c>
      <c r="H162" s="11">
        <v>66.459143968871601</v>
      </c>
      <c r="I162" s="12">
        <v>0.43099999999999999</v>
      </c>
      <c r="J162" s="13">
        <f t="shared" si="7"/>
        <v>2.1549999999999998</v>
      </c>
      <c r="K162" s="14">
        <f t="shared" si="8"/>
        <v>256.09321428500004</v>
      </c>
    </row>
    <row r="163" spans="1:11" x14ac:dyDescent="0.15">
      <c r="A163" s="51"/>
      <c r="B163" s="8">
        <v>162</v>
      </c>
      <c r="C163" s="9">
        <v>11.650000000000006</v>
      </c>
      <c r="D163" s="10">
        <v>12.787723785166241</v>
      </c>
      <c r="E163" s="10">
        <v>4.0920716112532007</v>
      </c>
      <c r="F163" s="10">
        <f t="shared" si="6"/>
        <v>9.3001627528481841</v>
      </c>
      <c r="G163" s="10">
        <v>5.0423310950820754E-2</v>
      </c>
      <c r="H163" s="11">
        <v>66.831683168316829</v>
      </c>
      <c r="I163" s="12">
        <v>0.40200000000000002</v>
      </c>
      <c r="J163" s="13">
        <f t="shared" si="7"/>
        <v>2.0100000000000002</v>
      </c>
      <c r="K163" s="14">
        <f t="shared" si="8"/>
        <v>258.10321428500004</v>
      </c>
    </row>
    <row r="164" spans="1:11" x14ac:dyDescent="0.15">
      <c r="A164" s="51"/>
      <c r="B164" s="8">
        <v>163</v>
      </c>
      <c r="C164" s="9">
        <v>11.700000000000006</v>
      </c>
      <c r="D164" s="10">
        <v>11.5473441108545</v>
      </c>
      <c r="E164" s="10">
        <v>4.618937644341865</v>
      </c>
      <c r="F164" s="10">
        <f t="shared" si="6"/>
        <v>10.49758555532242</v>
      </c>
      <c r="G164" s="10">
        <v>4.9052398449900905E-2</v>
      </c>
      <c r="H164" s="11">
        <v>66.791044776119406</v>
      </c>
      <c r="I164" s="12">
        <v>0.44500000000000001</v>
      </c>
      <c r="J164" s="13">
        <f t="shared" si="7"/>
        <v>2.2250000000000001</v>
      </c>
      <c r="K164" s="14">
        <f t="shared" si="8"/>
        <v>260.32821428500006</v>
      </c>
    </row>
    <row r="165" spans="1:11" x14ac:dyDescent="0.15">
      <c r="A165" s="51"/>
      <c r="B165" s="8">
        <v>164</v>
      </c>
      <c r="C165" s="9">
        <v>11.750000000000007</v>
      </c>
      <c r="D165" s="10">
        <v>11.192214111922159</v>
      </c>
      <c r="E165" s="10">
        <v>4.1362530413625702</v>
      </c>
      <c r="F165" s="10">
        <f t="shared" si="6"/>
        <v>9.4005750940058412</v>
      </c>
      <c r="G165" s="10">
        <v>7.2313730541499477E-2</v>
      </c>
      <c r="H165" s="11">
        <v>66.238973536487563</v>
      </c>
      <c r="I165" s="12">
        <v>0.42099999999999999</v>
      </c>
      <c r="J165" s="13">
        <f t="shared" si="7"/>
        <v>2.105</v>
      </c>
      <c r="K165" s="14">
        <f t="shared" si="8"/>
        <v>262.43321428500008</v>
      </c>
    </row>
    <row r="166" spans="1:11" x14ac:dyDescent="0.15">
      <c r="A166" s="51"/>
      <c r="B166" s="8">
        <v>165</v>
      </c>
      <c r="C166" s="9">
        <v>11.800000000000008</v>
      </c>
      <c r="D166" s="10">
        <v>9.9078341013824787</v>
      </c>
      <c r="E166" s="10">
        <v>3.6866359447004631</v>
      </c>
      <c r="F166" s="10">
        <f t="shared" si="6"/>
        <v>8.3787180561374157</v>
      </c>
      <c r="G166" s="10">
        <v>8.2387588092678182E-2</v>
      </c>
      <c r="H166" s="11">
        <v>64.319999999999993</v>
      </c>
      <c r="I166" s="12">
        <v>0.44600000000000001</v>
      </c>
      <c r="J166" s="13">
        <f t="shared" si="7"/>
        <v>2.23</v>
      </c>
      <c r="K166" s="14">
        <f t="shared" si="8"/>
        <v>264.66321428500009</v>
      </c>
    </row>
    <row r="167" spans="1:11" x14ac:dyDescent="0.15">
      <c r="A167" s="51"/>
      <c r="B167" s="8">
        <v>166</v>
      </c>
      <c r="C167" s="9">
        <v>11.850000000000009</v>
      </c>
      <c r="D167" s="10">
        <v>10.849056603773608</v>
      </c>
      <c r="E167" s="10">
        <v>4.952830188679183</v>
      </c>
      <c r="F167" s="10">
        <f t="shared" si="6"/>
        <v>11.256432246998143</v>
      </c>
      <c r="G167" s="10">
        <v>8.1059396974297038E-2</v>
      </c>
      <c r="H167" s="11">
        <v>66.252909231962761</v>
      </c>
      <c r="I167" s="12">
        <v>0.435</v>
      </c>
      <c r="J167" s="13">
        <f t="shared" si="7"/>
        <v>2.1749999999999998</v>
      </c>
      <c r="K167" s="14">
        <f t="shared" si="8"/>
        <v>266.83821428500011</v>
      </c>
    </row>
    <row r="168" spans="1:11" x14ac:dyDescent="0.15">
      <c r="A168" s="51"/>
      <c r="B168" s="8">
        <v>167</v>
      </c>
      <c r="C168" s="26">
        <v>11.900000000000009</v>
      </c>
      <c r="D168" s="10">
        <v>11.363636363636347</v>
      </c>
      <c r="E168" s="10">
        <v>6.8181818181818095</v>
      </c>
      <c r="F168" s="10">
        <f t="shared" si="6"/>
        <v>15.495867768595021</v>
      </c>
      <c r="G168" s="10">
        <v>9.6838794706227097E-2</v>
      </c>
      <c r="H168" s="11">
        <v>66.992665036674822</v>
      </c>
      <c r="I168" s="12">
        <v>0.40500000000000003</v>
      </c>
      <c r="J168" s="13">
        <f t="shared" si="7"/>
        <v>2.0250000000000004</v>
      </c>
      <c r="K168" s="14">
        <f t="shared" si="8"/>
        <v>268.86321428500008</v>
      </c>
    </row>
    <row r="169" spans="1:11" x14ac:dyDescent="0.15">
      <c r="A169" s="51"/>
      <c r="B169" s="8">
        <v>168</v>
      </c>
      <c r="C169" s="9">
        <v>11.95000000000001</v>
      </c>
      <c r="D169" s="10">
        <v>10.722610722610741</v>
      </c>
      <c r="E169" s="10">
        <v>7.4592074592074651</v>
      </c>
      <c r="F169" s="10">
        <f t="shared" si="6"/>
        <v>16.952744225471513</v>
      </c>
      <c r="G169" s="10">
        <v>9.074649319238752E-2</v>
      </c>
      <c r="H169" s="11">
        <v>65.544244322631158</v>
      </c>
      <c r="I169" s="12">
        <v>0.44</v>
      </c>
      <c r="J169" s="13">
        <f t="shared" si="7"/>
        <v>2.2000000000000002</v>
      </c>
      <c r="K169" s="14">
        <f t="shared" si="8"/>
        <v>271.06321428500007</v>
      </c>
    </row>
    <row r="170" spans="1:11" x14ac:dyDescent="0.15">
      <c r="A170" s="51"/>
      <c r="B170" s="8">
        <v>169</v>
      </c>
      <c r="C170" s="9">
        <v>12.000000000000011</v>
      </c>
      <c r="D170" s="10">
        <v>10.123456790123463</v>
      </c>
      <c r="E170" s="10">
        <v>6.9135802469136101</v>
      </c>
      <c r="F170" s="10">
        <f t="shared" si="6"/>
        <v>15.712682379349113</v>
      </c>
      <c r="G170" s="10">
        <v>8.6128617229641408E-2</v>
      </c>
      <c r="H170" s="11">
        <v>66.013071895424844</v>
      </c>
      <c r="I170" s="12">
        <v>0.41599999999999998</v>
      </c>
      <c r="J170" s="13">
        <f t="shared" si="7"/>
        <v>2.08</v>
      </c>
      <c r="K170" s="14">
        <f t="shared" si="8"/>
        <v>273.14321428500006</v>
      </c>
    </row>
    <row r="171" spans="1:11" x14ac:dyDescent="0.15">
      <c r="A171" s="51"/>
      <c r="B171" s="8">
        <v>170</v>
      </c>
      <c r="C171" s="28">
        <v>12.050000000000011</v>
      </c>
      <c r="D171" s="10">
        <v>11.139240506329063</v>
      </c>
      <c r="E171" s="10">
        <v>6.8354430379746773</v>
      </c>
      <c r="F171" s="10">
        <f t="shared" si="6"/>
        <v>15.535097813578812</v>
      </c>
      <c r="G171" s="10">
        <v>7.1578285615248496E-2</v>
      </c>
      <c r="H171" s="11">
        <v>67.233009708737853</v>
      </c>
      <c r="I171" s="12">
        <v>0.40500000000000003</v>
      </c>
      <c r="J171" s="13">
        <f t="shared" si="7"/>
        <v>2.0250000000000004</v>
      </c>
      <c r="K171" s="14">
        <f t="shared" si="8"/>
        <v>275.16821428500003</v>
      </c>
    </row>
    <row r="172" spans="1:11" x14ac:dyDescent="0.15">
      <c r="A172" s="51"/>
      <c r="B172" s="8">
        <v>171</v>
      </c>
      <c r="C172" s="28">
        <v>12.25</v>
      </c>
      <c r="D172" s="10">
        <v>9.4562647754136773</v>
      </c>
      <c r="E172" s="10">
        <v>8.5106382978724096</v>
      </c>
      <c r="F172" s="10">
        <f t="shared" si="6"/>
        <v>19.342359767891839</v>
      </c>
      <c r="G172" s="10">
        <v>5.7041499229328288E-2</v>
      </c>
      <c r="H172" s="11">
        <v>64.419171405361496</v>
      </c>
      <c r="I172" s="12">
        <v>0.438</v>
      </c>
      <c r="J172" s="13">
        <f t="shared" si="7"/>
        <v>2.19</v>
      </c>
      <c r="K172" s="14">
        <f t="shared" si="8"/>
        <v>277.35821428500003</v>
      </c>
    </row>
    <row r="173" spans="1:11" x14ac:dyDescent="0.15">
      <c r="A173" s="51"/>
      <c r="B173" s="8">
        <v>172</v>
      </c>
      <c r="C173" s="9">
        <v>12.3</v>
      </c>
      <c r="D173" s="10">
        <v>10.798122065727716</v>
      </c>
      <c r="E173" s="10">
        <v>6.572769953051667</v>
      </c>
      <c r="F173" s="10">
        <f t="shared" si="6"/>
        <v>14.93811352966288</v>
      </c>
      <c r="G173" s="10">
        <v>5.8112483275480326E-2</v>
      </c>
      <c r="H173" s="11">
        <v>66.180981595092021</v>
      </c>
      <c r="I173" s="12">
        <v>0.441</v>
      </c>
      <c r="J173" s="13">
        <f t="shared" si="7"/>
        <v>2.2050000000000001</v>
      </c>
      <c r="K173" s="14">
        <f t="shared" si="8"/>
        <v>279.56321428500002</v>
      </c>
    </row>
    <row r="174" spans="1:11" x14ac:dyDescent="0.15">
      <c r="A174" s="51"/>
      <c r="B174" s="8">
        <v>173</v>
      </c>
      <c r="C174" s="9">
        <v>12.350000000000001</v>
      </c>
      <c r="D174" s="10">
        <v>10.436893203883573</v>
      </c>
      <c r="E174" s="10">
        <v>7.524271844660162</v>
      </c>
      <c r="F174" s="10">
        <f t="shared" si="6"/>
        <v>17.100617828773096</v>
      </c>
      <c r="G174" s="10">
        <v>9.7460870521054954E-2</v>
      </c>
      <c r="H174" s="11">
        <v>66.127728375101057</v>
      </c>
      <c r="I174" s="12">
        <v>0.41899999999999998</v>
      </c>
      <c r="J174" s="13">
        <f t="shared" si="7"/>
        <v>2.0949999999999998</v>
      </c>
      <c r="K174" s="14">
        <f t="shared" si="8"/>
        <v>281.65821428500004</v>
      </c>
    </row>
    <row r="175" spans="1:11" x14ac:dyDescent="0.15">
      <c r="A175" s="51"/>
      <c r="B175" s="8">
        <v>174</v>
      </c>
      <c r="C175" s="9">
        <v>12.400000000000002</v>
      </c>
      <c r="D175" s="10">
        <v>10.900473933649229</v>
      </c>
      <c r="E175" s="10">
        <v>9.9526066350711329</v>
      </c>
      <c r="F175" s="10">
        <f t="shared" si="6"/>
        <v>22.619560534252575</v>
      </c>
      <c r="G175" s="10">
        <v>0.11190220846793891</v>
      </c>
      <c r="H175" s="11">
        <v>65.925337569499604</v>
      </c>
      <c r="I175" s="12">
        <v>0.42899999999999999</v>
      </c>
      <c r="J175" s="13">
        <f t="shared" si="7"/>
        <v>2.145</v>
      </c>
      <c r="K175" s="14">
        <f t="shared" si="8"/>
        <v>283.80321428500002</v>
      </c>
    </row>
    <row r="176" spans="1:11" x14ac:dyDescent="0.15">
      <c r="A176" s="51"/>
      <c r="B176" s="8">
        <v>175</v>
      </c>
      <c r="C176" s="9">
        <v>12.450000000000003</v>
      </c>
      <c r="D176" s="10">
        <v>9.6707818930041647</v>
      </c>
      <c r="E176" s="10">
        <v>7.6131687242797845</v>
      </c>
      <c r="F176" s="10">
        <f t="shared" si="6"/>
        <v>17.302656191544965</v>
      </c>
      <c r="G176" s="10">
        <v>0.12870256360728652</v>
      </c>
      <c r="H176" s="11">
        <v>63.649635036496349</v>
      </c>
      <c r="I176" s="12">
        <v>0.498</v>
      </c>
      <c r="J176" s="13">
        <f t="shared" si="7"/>
        <v>2.4900000000000002</v>
      </c>
      <c r="K176" s="14">
        <f t="shared" si="8"/>
        <v>286.29321428500003</v>
      </c>
    </row>
    <row r="177" spans="1:11" x14ac:dyDescent="0.15">
      <c r="A177" s="51"/>
      <c r="B177" s="8">
        <v>176</v>
      </c>
      <c r="C177" s="9">
        <v>12.500000000000004</v>
      </c>
      <c r="D177" s="10">
        <v>10.311750599520458</v>
      </c>
      <c r="E177" s="10">
        <v>6.714628297362049</v>
      </c>
      <c r="F177" s="10">
        <f t="shared" si="6"/>
        <v>15.260518857641021</v>
      </c>
      <c r="G177" s="10">
        <v>8.5658586296870454E-2</v>
      </c>
      <c r="H177" s="11">
        <v>65.210355987055038</v>
      </c>
      <c r="I177" s="12">
        <v>0.43</v>
      </c>
      <c r="J177" s="13">
        <f t="shared" si="7"/>
        <v>2.15</v>
      </c>
      <c r="K177" s="14">
        <f t="shared" si="8"/>
        <v>288.44321428500001</v>
      </c>
    </row>
    <row r="178" spans="1:11" x14ac:dyDescent="0.15">
      <c r="A178" s="51"/>
      <c r="B178" s="8">
        <v>177</v>
      </c>
      <c r="C178" s="9">
        <v>12.550000000000004</v>
      </c>
      <c r="D178" s="10">
        <v>10.311750599520376</v>
      </c>
      <c r="E178" s="10">
        <v>9.5923261390887795</v>
      </c>
      <c r="F178" s="10">
        <f t="shared" si="6"/>
        <v>21.800741225201772</v>
      </c>
      <c r="G178" s="10">
        <v>7.3116824211002074E-2</v>
      </c>
      <c r="H178" s="11">
        <v>65.838011226944673</v>
      </c>
      <c r="I178" s="12">
        <v>0.42599999999999999</v>
      </c>
      <c r="J178" s="13">
        <f t="shared" si="7"/>
        <v>2.13</v>
      </c>
      <c r="K178" s="14">
        <f t="shared" si="8"/>
        <v>290.57321428500001</v>
      </c>
    </row>
    <row r="179" spans="1:11" x14ac:dyDescent="0.15">
      <c r="A179" s="51"/>
      <c r="B179" s="8">
        <v>178</v>
      </c>
      <c r="C179" s="9">
        <v>12.600000000000005</v>
      </c>
      <c r="D179" s="10">
        <v>9.6109839816933231</v>
      </c>
      <c r="E179" s="10">
        <v>9.6109839816934048</v>
      </c>
      <c r="F179" s="10">
        <f t="shared" si="6"/>
        <v>21.843145412939556</v>
      </c>
      <c r="G179" s="10">
        <v>6.92151703652817E-2</v>
      </c>
      <c r="H179" s="11">
        <v>65.183450429352078</v>
      </c>
      <c r="I179" s="12">
        <v>0.44600000000000001</v>
      </c>
      <c r="J179" s="13">
        <f t="shared" si="7"/>
        <v>2.23</v>
      </c>
      <c r="K179" s="14">
        <f t="shared" si="8"/>
        <v>292.80321428500002</v>
      </c>
    </row>
    <row r="180" spans="1:11" x14ac:dyDescent="0.15">
      <c r="A180" s="52"/>
      <c r="B180" s="15">
        <v>179</v>
      </c>
      <c r="C180" s="16">
        <v>12.650000000000006</v>
      </c>
      <c r="D180" s="17">
        <v>9.6446700507614835</v>
      </c>
      <c r="E180" s="17">
        <v>9.6446700507613929</v>
      </c>
      <c r="F180" s="17">
        <f t="shared" si="6"/>
        <v>21.919704660821349</v>
      </c>
      <c r="G180" s="17">
        <v>6.154953073141968E-2</v>
      </c>
      <c r="H180" s="18">
        <v>67.606768734891205</v>
      </c>
      <c r="I180" s="19">
        <v>0.40200000000000002</v>
      </c>
      <c r="J180" s="20">
        <f t="shared" si="7"/>
        <v>2.0100000000000002</v>
      </c>
      <c r="K180" s="21">
        <f t="shared" si="8"/>
        <v>294.81321428500002</v>
      </c>
    </row>
    <row r="181" spans="1:11" x14ac:dyDescent="0.15">
      <c r="A181" s="50"/>
      <c r="B181" s="2">
        <v>180</v>
      </c>
      <c r="C181" s="29">
        <v>12.700000000000006</v>
      </c>
      <c r="D181" s="4">
        <v>9.0659340659340231</v>
      </c>
      <c r="E181" s="4">
        <v>10.989010989010954</v>
      </c>
      <c r="F181" s="4">
        <f t="shared" si="6"/>
        <v>24.975024975024894</v>
      </c>
      <c r="G181" s="4">
        <v>4.8047225398897109E-2</v>
      </c>
      <c r="H181" s="22">
        <v>69.540229885057471</v>
      </c>
      <c r="I181" s="23">
        <v>0.371</v>
      </c>
      <c r="J181" s="24">
        <f t="shared" si="7"/>
        <v>1.855</v>
      </c>
      <c r="K181" s="25">
        <f t="shared" si="8"/>
        <v>296.66821428500003</v>
      </c>
    </row>
    <row r="182" spans="1:11" x14ac:dyDescent="0.15">
      <c r="A182" s="51"/>
      <c r="B182" s="8">
        <v>181</v>
      </c>
      <c r="C182" s="9">
        <v>12.750000000000007</v>
      </c>
      <c r="D182" s="10">
        <v>8.1081081081081301</v>
      </c>
      <c r="E182" s="10">
        <v>12.162162162162145</v>
      </c>
      <c r="F182" s="10">
        <f t="shared" si="6"/>
        <v>27.641277641277604</v>
      </c>
      <c r="G182" s="10">
        <v>5.032794469927393E-2</v>
      </c>
      <c r="H182" s="11">
        <v>68.7448046550291</v>
      </c>
      <c r="I182" s="12">
        <v>0.376</v>
      </c>
      <c r="J182" s="13">
        <f t="shared" si="7"/>
        <v>1.88</v>
      </c>
      <c r="K182" s="14">
        <f t="shared" si="8"/>
        <v>298.54821428500003</v>
      </c>
    </row>
    <row r="183" spans="1:11" x14ac:dyDescent="0.15">
      <c r="A183" s="51"/>
      <c r="B183" s="8">
        <v>182</v>
      </c>
      <c r="C183" s="9">
        <v>12.800000000000008</v>
      </c>
      <c r="D183" s="10">
        <v>9.9730458221023603</v>
      </c>
      <c r="E183" s="10">
        <v>8.8948787061995134</v>
      </c>
      <c r="F183" s="10">
        <f t="shared" si="6"/>
        <v>20.215633423180712</v>
      </c>
      <c r="G183" s="10">
        <v>5.2554588487055499E-2</v>
      </c>
      <c r="H183" s="11">
        <v>68.847097301717085</v>
      </c>
      <c r="I183" s="12">
        <v>0.38100000000000001</v>
      </c>
      <c r="J183" s="13">
        <f t="shared" si="7"/>
        <v>1.905</v>
      </c>
      <c r="K183" s="14">
        <f t="shared" si="8"/>
        <v>300.453214285</v>
      </c>
    </row>
    <row r="184" spans="1:11" x14ac:dyDescent="0.15">
      <c r="A184" s="51"/>
      <c r="B184" s="8">
        <v>183</v>
      </c>
      <c r="C184" s="9">
        <v>12.850000000000009</v>
      </c>
      <c r="D184" s="10">
        <v>9.40170940170945</v>
      </c>
      <c r="E184" s="10">
        <v>9.6866096866096782</v>
      </c>
      <c r="F184" s="10">
        <f t="shared" si="6"/>
        <v>22.015022015021994</v>
      </c>
      <c r="G184" s="10">
        <v>3.5083070460244059E-2</v>
      </c>
      <c r="H184" s="11">
        <v>70.385561936013133</v>
      </c>
      <c r="I184" s="12">
        <v>0.36099999999999999</v>
      </c>
      <c r="J184" s="13">
        <f t="shared" si="7"/>
        <v>1.8049999999999999</v>
      </c>
      <c r="K184" s="14">
        <f t="shared" si="8"/>
        <v>302.25821428500001</v>
      </c>
    </row>
    <row r="185" spans="1:11" x14ac:dyDescent="0.15">
      <c r="A185" s="51"/>
      <c r="B185" s="8">
        <v>184</v>
      </c>
      <c r="C185" s="9">
        <v>12.900000000000009</v>
      </c>
      <c r="D185" s="10">
        <v>10.249307479224401</v>
      </c>
      <c r="E185" s="10">
        <v>10.249307479224401</v>
      </c>
      <c r="F185" s="10">
        <f t="shared" si="6"/>
        <v>23.29388063460091</v>
      </c>
      <c r="G185" s="10">
        <v>4.18736167120752E-2</v>
      </c>
      <c r="H185" s="11">
        <v>69.511184755592382</v>
      </c>
      <c r="I185" s="12">
        <v>0.36799999999999999</v>
      </c>
      <c r="J185" s="13">
        <f t="shared" si="7"/>
        <v>1.8399999999999999</v>
      </c>
      <c r="K185" s="14">
        <f t="shared" si="8"/>
        <v>304.09821428499998</v>
      </c>
    </row>
    <row r="186" spans="1:11" x14ac:dyDescent="0.15">
      <c r="A186" s="51"/>
      <c r="B186" s="8">
        <v>185</v>
      </c>
      <c r="C186" s="9">
        <v>12.95000000000001</v>
      </c>
      <c r="D186" s="10">
        <v>11.142857142857158</v>
      </c>
      <c r="E186" s="10">
        <v>9.4285714285713791</v>
      </c>
      <c r="F186" s="10">
        <f t="shared" si="6"/>
        <v>21.428571428571317</v>
      </c>
      <c r="G186" s="10">
        <v>4.7266192631698657E-2</v>
      </c>
      <c r="H186" s="11">
        <v>70.799347471451881</v>
      </c>
      <c r="I186" s="12">
        <v>0.35799999999999998</v>
      </c>
      <c r="J186" s="13">
        <f t="shared" si="7"/>
        <v>1.79</v>
      </c>
      <c r="K186" s="14">
        <f t="shared" si="8"/>
        <v>305.888214285</v>
      </c>
    </row>
    <row r="187" spans="1:11" x14ac:dyDescent="0.15">
      <c r="A187" s="51"/>
      <c r="B187" s="8">
        <v>186</v>
      </c>
      <c r="C187" s="9">
        <v>13.000000000000011</v>
      </c>
      <c r="D187" s="10">
        <v>10.966057441253307</v>
      </c>
      <c r="E187" s="10">
        <v>9.1383812010443304</v>
      </c>
      <c r="F187" s="10">
        <f t="shared" si="6"/>
        <v>20.769048184191661</v>
      </c>
      <c r="G187" s="10">
        <v>6.1556501525520176E-2</v>
      </c>
      <c r="H187" s="11">
        <v>68.207623682076218</v>
      </c>
      <c r="I187" s="12">
        <v>0.39200000000000002</v>
      </c>
      <c r="J187" s="13">
        <f t="shared" si="7"/>
        <v>1.96</v>
      </c>
      <c r="K187" s="14">
        <f t="shared" si="8"/>
        <v>307.84821428499998</v>
      </c>
    </row>
    <row r="188" spans="1:11" x14ac:dyDescent="0.15">
      <c r="A188" s="51"/>
      <c r="B188" s="8">
        <v>187</v>
      </c>
      <c r="C188" s="28">
        <v>13.050000000000011</v>
      </c>
      <c r="D188" s="10">
        <v>10.723192019950122</v>
      </c>
      <c r="E188" s="10">
        <v>9.4763092269326492</v>
      </c>
      <c r="F188" s="10">
        <f t="shared" si="6"/>
        <v>21.53706642484693</v>
      </c>
      <c r="G188" s="10">
        <v>5.9759601460946499E-2</v>
      </c>
      <c r="H188" s="11">
        <v>67.172523961661341</v>
      </c>
      <c r="I188" s="12">
        <v>0.41099999999999998</v>
      </c>
      <c r="J188" s="13">
        <f t="shared" si="7"/>
        <v>2.0549999999999997</v>
      </c>
      <c r="K188" s="14">
        <f t="shared" si="8"/>
        <v>309.90321428499999</v>
      </c>
    </row>
    <row r="189" spans="1:11" x14ac:dyDescent="0.15">
      <c r="A189" s="51"/>
      <c r="B189" s="8">
        <v>188</v>
      </c>
      <c r="C189" s="30">
        <v>13.3</v>
      </c>
      <c r="D189" s="10">
        <v>11.111111111111125</v>
      </c>
      <c r="E189" s="10">
        <v>9.9537037037037006</v>
      </c>
      <c r="F189" s="10">
        <f t="shared" si="6"/>
        <v>22.622053872053865</v>
      </c>
      <c r="G189" s="10">
        <v>5.6646006200000001E-2</v>
      </c>
      <c r="H189" s="11">
        <v>63.184079601990042</v>
      </c>
      <c r="I189" s="12">
        <v>0.44400000000000001</v>
      </c>
      <c r="J189" s="13">
        <f t="shared" si="7"/>
        <v>2.2200000000000002</v>
      </c>
      <c r="K189" s="14">
        <f t="shared" si="8"/>
        <v>312.12321428500002</v>
      </c>
    </row>
    <row r="190" spans="1:11" x14ac:dyDescent="0.15">
      <c r="A190" s="51"/>
      <c r="B190" s="8">
        <v>189</v>
      </c>
      <c r="C190" s="30">
        <v>13.35</v>
      </c>
      <c r="D190" s="10">
        <v>11.158798283261794</v>
      </c>
      <c r="E190" s="10">
        <v>7.7253218884120054</v>
      </c>
      <c r="F190" s="10">
        <f t="shared" si="6"/>
        <v>17.557549746390922</v>
      </c>
      <c r="G190" s="10">
        <v>7.7087109375000004E-2</v>
      </c>
      <c r="H190" s="11">
        <v>62.480376766091055</v>
      </c>
      <c r="I190" s="12">
        <v>0.47799999999999998</v>
      </c>
      <c r="J190" s="13">
        <f t="shared" si="7"/>
        <v>2.3899999999999997</v>
      </c>
      <c r="K190" s="14">
        <f t="shared" si="8"/>
        <v>314.513214285</v>
      </c>
    </row>
    <row r="191" spans="1:11" x14ac:dyDescent="0.15">
      <c r="A191" s="51"/>
      <c r="B191" s="8">
        <v>190</v>
      </c>
      <c r="C191" s="30">
        <v>13.4</v>
      </c>
      <c r="D191" s="10">
        <v>11.685393258427034</v>
      </c>
      <c r="E191" s="10">
        <v>6.9662921348314297</v>
      </c>
      <c r="F191" s="10">
        <f t="shared" si="6"/>
        <v>15.832482124616886</v>
      </c>
      <c r="G191" s="10">
        <v>6.8399742099999994E-2</v>
      </c>
      <c r="H191" s="11">
        <v>64.642582628747121</v>
      </c>
      <c r="I191" s="12">
        <v>0.46</v>
      </c>
      <c r="J191" s="13">
        <f t="shared" si="7"/>
        <v>2.3000000000000003</v>
      </c>
      <c r="K191" s="14">
        <f t="shared" si="8"/>
        <v>316.81321428500002</v>
      </c>
    </row>
    <row r="192" spans="1:11" x14ac:dyDescent="0.15">
      <c r="A192" s="51"/>
      <c r="B192" s="8">
        <v>191</v>
      </c>
      <c r="C192" s="30">
        <v>13.450000000000001</v>
      </c>
      <c r="D192" s="10">
        <v>11.453744493392064</v>
      </c>
      <c r="E192" s="10">
        <v>8.370044052863415</v>
      </c>
      <c r="F192" s="10">
        <f t="shared" si="6"/>
        <v>19.022827392871399</v>
      </c>
      <c r="G192" s="10">
        <v>7.4409986550000001E-2</v>
      </c>
      <c r="H192" s="11">
        <v>67.210567210567206</v>
      </c>
      <c r="I192" s="12">
        <v>0.42199999999999999</v>
      </c>
      <c r="J192" s="13">
        <f t="shared" si="7"/>
        <v>2.11</v>
      </c>
      <c r="K192" s="14">
        <f t="shared" si="8"/>
        <v>318.92321428500003</v>
      </c>
    </row>
    <row r="193" spans="1:11" x14ac:dyDescent="0.15">
      <c r="A193" s="51"/>
      <c r="B193" s="8">
        <v>192</v>
      </c>
      <c r="C193" s="30">
        <v>13.500000000000002</v>
      </c>
      <c r="D193" s="10">
        <v>11.133603238866408</v>
      </c>
      <c r="E193" s="10">
        <v>9.1093117408906714</v>
      </c>
      <c r="F193" s="10">
        <f t="shared" si="6"/>
        <v>20.702981229296981</v>
      </c>
      <c r="G193" s="10">
        <v>8.8637636049999996E-2</v>
      </c>
      <c r="H193" s="11">
        <v>61.573373676248124</v>
      </c>
      <c r="I193" s="12">
        <v>0.50800000000000001</v>
      </c>
      <c r="J193" s="13">
        <f t="shared" si="7"/>
        <v>2.54</v>
      </c>
      <c r="K193" s="14">
        <f t="shared" si="8"/>
        <v>321.46321428500005</v>
      </c>
    </row>
    <row r="194" spans="1:11" x14ac:dyDescent="0.15">
      <c r="A194" s="51"/>
      <c r="B194" s="8">
        <v>193</v>
      </c>
      <c r="C194" s="30">
        <v>13.550000000000002</v>
      </c>
      <c r="D194" s="10">
        <v>12.249443207126964</v>
      </c>
      <c r="E194" s="10">
        <v>10.467706013363003</v>
      </c>
      <c r="F194" s="10">
        <f t="shared" ref="F194:F257" si="9">E194/0.44</f>
        <v>23.79024093946137</v>
      </c>
      <c r="G194" s="10">
        <v>8.2651557824999999E-2</v>
      </c>
      <c r="H194" s="11">
        <v>63.971742543171111</v>
      </c>
      <c r="I194" s="12">
        <v>0.45900000000000002</v>
      </c>
      <c r="J194" s="13">
        <f t="shared" si="7"/>
        <v>2.2949999999999999</v>
      </c>
      <c r="K194" s="14">
        <f t="shared" si="8"/>
        <v>323.75821428500007</v>
      </c>
    </row>
    <row r="195" spans="1:11" x14ac:dyDescent="0.15">
      <c r="A195" s="51"/>
      <c r="B195" s="8">
        <v>194</v>
      </c>
      <c r="C195" s="30">
        <v>13.600000000000003</v>
      </c>
      <c r="D195" s="10">
        <v>11.915887850467328</v>
      </c>
      <c r="E195" s="10">
        <v>9.1121495327102124</v>
      </c>
      <c r="F195" s="10">
        <f t="shared" si="9"/>
        <v>20.709430756159573</v>
      </c>
      <c r="G195" s="10">
        <v>8.7231169949999993E-2</v>
      </c>
      <c r="H195" s="11">
        <v>64.875701684041701</v>
      </c>
      <c r="I195" s="12">
        <v>0.438</v>
      </c>
      <c r="J195" s="13">
        <f t="shared" si="7"/>
        <v>2.19</v>
      </c>
      <c r="K195" s="14">
        <f t="shared" si="8"/>
        <v>325.94821428500006</v>
      </c>
    </row>
    <row r="196" spans="1:11" x14ac:dyDescent="0.15">
      <c r="A196" s="51"/>
      <c r="B196" s="8">
        <v>195</v>
      </c>
      <c r="C196" s="30">
        <v>13.650000000000004</v>
      </c>
      <c r="D196" s="10">
        <v>11.435523114355204</v>
      </c>
      <c r="E196" s="10">
        <v>7.2992700729927193</v>
      </c>
      <c r="F196" s="10">
        <f t="shared" si="9"/>
        <v>16.589250165892544</v>
      </c>
      <c r="G196" s="10">
        <v>6.8365489899999993E-2</v>
      </c>
      <c r="H196" s="11">
        <v>66.321656050955397</v>
      </c>
      <c r="I196" s="12">
        <v>0.42299999999999999</v>
      </c>
      <c r="J196" s="13">
        <f t="shared" ref="J196:J259" si="10">I196*5</f>
        <v>2.1149999999999998</v>
      </c>
      <c r="K196" s="14">
        <f t="shared" ref="K196:K259" si="11">J196+K195</f>
        <v>328.06321428500007</v>
      </c>
    </row>
    <row r="197" spans="1:11" x14ac:dyDescent="0.15">
      <c r="A197" s="51"/>
      <c r="B197" s="8">
        <v>196</v>
      </c>
      <c r="C197" s="30">
        <v>13.700000000000005</v>
      </c>
      <c r="D197" s="10">
        <v>11.190476190476245</v>
      </c>
      <c r="E197" s="10">
        <v>8.0952380952380896</v>
      </c>
      <c r="F197" s="10">
        <f t="shared" si="9"/>
        <v>18.398268398268385</v>
      </c>
      <c r="G197" s="10">
        <v>6.9049120074999998E-2</v>
      </c>
      <c r="H197" s="11">
        <v>65.8498023715415</v>
      </c>
      <c r="I197" s="12">
        <v>0.432</v>
      </c>
      <c r="J197" s="13">
        <f t="shared" si="10"/>
        <v>2.16</v>
      </c>
      <c r="K197" s="14">
        <f t="shared" si="11"/>
        <v>330.2232142850001</v>
      </c>
    </row>
    <row r="198" spans="1:11" x14ac:dyDescent="0.15">
      <c r="A198" s="51"/>
      <c r="B198" s="8">
        <v>197</v>
      </c>
      <c r="C198" s="30">
        <v>13.750000000000005</v>
      </c>
      <c r="D198" s="10">
        <v>11.718749999999982</v>
      </c>
      <c r="E198" s="10">
        <v>7.2916666666666963</v>
      </c>
      <c r="F198" s="10">
        <f t="shared" si="9"/>
        <v>16.571969696969763</v>
      </c>
      <c r="G198" s="10">
        <v>5.4534870950000001E-2</v>
      </c>
      <c r="H198" s="11">
        <v>67.328370554177013</v>
      </c>
      <c r="I198" s="12">
        <v>0.39500000000000002</v>
      </c>
      <c r="J198" s="13">
        <f t="shared" si="10"/>
        <v>1.9750000000000001</v>
      </c>
      <c r="K198" s="14">
        <f t="shared" si="11"/>
        <v>332.19821428500012</v>
      </c>
    </row>
    <row r="199" spans="1:11" x14ac:dyDescent="0.15">
      <c r="A199" s="51"/>
      <c r="B199" s="8">
        <v>198</v>
      </c>
      <c r="C199" s="30">
        <v>13.800000000000006</v>
      </c>
      <c r="D199" s="10">
        <v>11.442786069651758</v>
      </c>
      <c r="E199" s="10">
        <v>8.4577114427860636</v>
      </c>
      <c r="F199" s="10">
        <f t="shared" si="9"/>
        <v>19.222071460877416</v>
      </c>
      <c r="G199" s="10">
        <v>5.7254609399999996E-2</v>
      </c>
      <c r="H199" s="11">
        <v>67.223548130469368</v>
      </c>
      <c r="I199" s="12">
        <v>0.41199999999999998</v>
      </c>
      <c r="J199" s="13">
        <f t="shared" si="10"/>
        <v>2.06</v>
      </c>
      <c r="K199" s="14">
        <f t="shared" si="11"/>
        <v>334.25821428500012</v>
      </c>
    </row>
    <row r="200" spans="1:11" x14ac:dyDescent="0.15">
      <c r="A200" s="51"/>
      <c r="B200" s="8">
        <v>199</v>
      </c>
      <c r="C200" s="30">
        <v>13.850000000000007</v>
      </c>
      <c r="D200" s="10">
        <v>10.501193317422382</v>
      </c>
      <c r="E200" s="10">
        <v>10.262529832935554</v>
      </c>
      <c r="F200" s="10">
        <f t="shared" si="9"/>
        <v>23.323931438489897</v>
      </c>
      <c r="G200" s="10">
        <v>5.5040341100000001E-2</v>
      </c>
      <c r="H200" s="11">
        <v>67.101226993865041</v>
      </c>
      <c r="I200" s="12">
        <v>0.42899999999999999</v>
      </c>
      <c r="J200" s="13">
        <f t="shared" si="10"/>
        <v>2.145</v>
      </c>
      <c r="K200" s="14">
        <f t="shared" si="11"/>
        <v>336.4032142850001</v>
      </c>
    </row>
    <row r="201" spans="1:11" x14ac:dyDescent="0.15">
      <c r="A201" s="51"/>
      <c r="B201" s="8">
        <v>200</v>
      </c>
      <c r="C201" s="30">
        <v>13.900000000000007</v>
      </c>
      <c r="D201" s="10">
        <v>11.260053619302994</v>
      </c>
      <c r="E201" s="10">
        <v>8.8471849865951278</v>
      </c>
      <c r="F201" s="10">
        <f t="shared" si="9"/>
        <v>20.107238605898019</v>
      </c>
      <c r="G201" s="10">
        <v>4.4445818674999998E-2</v>
      </c>
      <c r="H201" s="11">
        <v>69.049553208773347</v>
      </c>
      <c r="I201" s="12">
        <v>0.38100000000000001</v>
      </c>
      <c r="J201" s="13">
        <f t="shared" si="10"/>
        <v>1.905</v>
      </c>
      <c r="K201" s="14">
        <f t="shared" si="11"/>
        <v>338.30821428500008</v>
      </c>
    </row>
    <row r="202" spans="1:11" x14ac:dyDescent="0.15">
      <c r="A202" s="51"/>
      <c r="B202" s="8">
        <v>201</v>
      </c>
      <c r="C202" s="30">
        <v>13.950000000000008</v>
      </c>
      <c r="D202" s="10">
        <v>10.900473933649312</v>
      </c>
      <c r="E202" s="10">
        <v>8.7677725118482837</v>
      </c>
      <c r="F202" s="10">
        <f t="shared" si="9"/>
        <v>19.9267557087461</v>
      </c>
      <c r="G202" s="10">
        <v>4.7491874574999995E-2</v>
      </c>
      <c r="H202" s="11">
        <v>65.748031496062993</v>
      </c>
      <c r="I202" s="12">
        <v>0.435</v>
      </c>
      <c r="J202" s="13">
        <f t="shared" si="10"/>
        <v>2.1749999999999998</v>
      </c>
      <c r="K202" s="14">
        <f t="shared" si="11"/>
        <v>340.48321428500009</v>
      </c>
    </row>
    <row r="203" spans="1:11" x14ac:dyDescent="0.15">
      <c r="A203" s="51"/>
      <c r="B203" s="8">
        <v>202</v>
      </c>
      <c r="C203" s="30">
        <v>14.000000000000009</v>
      </c>
      <c r="D203" s="10">
        <v>10.972568578553565</v>
      </c>
      <c r="E203" s="10">
        <v>7.9800498753117317</v>
      </c>
      <c r="F203" s="10">
        <f t="shared" si="9"/>
        <v>18.136476989344846</v>
      </c>
      <c r="G203" s="10">
        <v>5.7544804825000004E-2</v>
      </c>
      <c r="H203" s="11">
        <v>66.174055829228237</v>
      </c>
      <c r="I203" s="12">
        <v>0.41199999999999998</v>
      </c>
      <c r="J203" s="13">
        <f t="shared" si="10"/>
        <v>2.06</v>
      </c>
      <c r="K203" s="14">
        <f t="shared" si="11"/>
        <v>342.54321428500009</v>
      </c>
    </row>
    <row r="204" spans="1:11" x14ac:dyDescent="0.15">
      <c r="A204" s="51"/>
      <c r="B204" s="8">
        <v>203</v>
      </c>
      <c r="C204" s="30">
        <v>14.05000000000001</v>
      </c>
      <c r="D204" s="10">
        <v>11.375661375661458</v>
      </c>
      <c r="E204" s="10">
        <v>8.4656084656083763</v>
      </c>
      <c r="F204" s="10">
        <f t="shared" si="9"/>
        <v>19.240019240019038</v>
      </c>
      <c r="G204" s="10">
        <v>4.0118803342500002E-2</v>
      </c>
      <c r="H204" s="11">
        <v>67.806505421184312</v>
      </c>
      <c r="I204" s="12">
        <v>0.38600000000000001</v>
      </c>
      <c r="J204" s="13">
        <f t="shared" si="10"/>
        <v>1.9300000000000002</v>
      </c>
      <c r="K204" s="14">
        <f t="shared" si="11"/>
        <v>344.4732142850001</v>
      </c>
    </row>
    <row r="205" spans="1:11" x14ac:dyDescent="0.15">
      <c r="A205" s="51"/>
      <c r="B205" s="8">
        <v>204</v>
      </c>
      <c r="C205" s="28">
        <v>14.3</v>
      </c>
      <c r="D205" s="10">
        <v>11.306532663316563</v>
      </c>
      <c r="E205" s="10">
        <v>7.5376884422110724</v>
      </c>
      <c r="F205" s="10">
        <f t="shared" si="9"/>
        <v>17.131110095934254</v>
      </c>
      <c r="G205" s="10">
        <v>6.1907482925E-2</v>
      </c>
      <c r="H205" s="11">
        <v>66.8543845534996</v>
      </c>
      <c r="I205" s="12">
        <v>0.41199999999999998</v>
      </c>
      <c r="J205" s="13">
        <f t="shared" si="10"/>
        <v>2.06</v>
      </c>
      <c r="K205" s="14">
        <f t="shared" si="11"/>
        <v>346.5332142850001</v>
      </c>
    </row>
    <row r="206" spans="1:11" x14ac:dyDescent="0.15">
      <c r="A206" s="51"/>
      <c r="B206" s="8">
        <v>205</v>
      </c>
      <c r="C206" s="9">
        <v>14.35</v>
      </c>
      <c r="D206" s="10">
        <v>10.61452513966487</v>
      </c>
      <c r="E206" s="10">
        <v>8.6592178770949317</v>
      </c>
      <c r="F206" s="10">
        <f t="shared" si="9"/>
        <v>19.680040629761208</v>
      </c>
      <c r="G206" s="10">
        <v>4.5131923475000002E-2</v>
      </c>
      <c r="H206" s="11">
        <v>68.723584108199503</v>
      </c>
      <c r="I206" s="12">
        <v>0.37</v>
      </c>
      <c r="J206" s="13">
        <f t="shared" si="10"/>
        <v>1.85</v>
      </c>
      <c r="K206" s="14">
        <f t="shared" si="11"/>
        <v>348.38321428500012</v>
      </c>
    </row>
    <row r="207" spans="1:11" x14ac:dyDescent="0.15">
      <c r="A207" s="51"/>
      <c r="B207" s="8">
        <v>206</v>
      </c>
      <c r="C207" s="9">
        <v>14.4</v>
      </c>
      <c r="D207" s="10">
        <v>12.324929971988736</v>
      </c>
      <c r="E207" s="10">
        <v>9.2436974789916526</v>
      </c>
      <c r="F207" s="10">
        <f t="shared" si="9"/>
        <v>21.008403361344666</v>
      </c>
      <c r="G207" s="10">
        <v>5.1034074525000001E-2</v>
      </c>
      <c r="H207" s="11">
        <v>70.139458572600503</v>
      </c>
      <c r="I207" s="12">
        <v>0.36399999999999999</v>
      </c>
      <c r="J207" s="13">
        <f t="shared" si="10"/>
        <v>1.8199999999999998</v>
      </c>
      <c r="K207" s="14">
        <f t="shared" si="11"/>
        <v>350.20321428500012</v>
      </c>
    </row>
    <row r="208" spans="1:11" x14ac:dyDescent="0.15">
      <c r="A208" s="51"/>
      <c r="B208" s="8">
        <v>207</v>
      </c>
      <c r="C208" s="9">
        <v>14.450000000000001</v>
      </c>
      <c r="D208" s="10">
        <v>11.917098445595874</v>
      </c>
      <c r="E208" s="10">
        <v>8.5492227979275075</v>
      </c>
      <c r="F208" s="10">
        <f t="shared" si="9"/>
        <v>19.430051813471607</v>
      </c>
      <c r="G208" s="10">
        <v>6.4746201949999999E-2</v>
      </c>
      <c r="H208" s="11">
        <v>68.218298555377203</v>
      </c>
      <c r="I208" s="12">
        <v>0.39600000000000002</v>
      </c>
      <c r="J208" s="13">
        <f t="shared" si="10"/>
        <v>1.98</v>
      </c>
      <c r="K208" s="14">
        <f t="shared" si="11"/>
        <v>352.18321428500013</v>
      </c>
    </row>
    <row r="209" spans="1:11" x14ac:dyDescent="0.15">
      <c r="A209" s="51"/>
      <c r="B209" s="8">
        <v>208</v>
      </c>
      <c r="C209" s="9">
        <v>14.500000000000002</v>
      </c>
      <c r="D209" s="10">
        <v>12.138728323699469</v>
      </c>
      <c r="E209" s="10">
        <v>8.3815028901733832</v>
      </c>
      <c r="F209" s="10">
        <f t="shared" si="9"/>
        <v>19.048870204939508</v>
      </c>
      <c r="G209" s="10">
        <v>4.9206610099999999E-2</v>
      </c>
      <c r="H209" s="11">
        <v>69.966159052453463</v>
      </c>
      <c r="I209" s="12">
        <v>0.35499999999999998</v>
      </c>
      <c r="J209" s="13">
        <f t="shared" si="10"/>
        <v>1.7749999999999999</v>
      </c>
      <c r="K209" s="14">
        <f t="shared" si="11"/>
        <v>353.95821428500011</v>
      </c>
    </row>
    <row r="210" spans="1:11" x14ac:dyDescent="0.15">
      <c r="A210" s="51"/>
      <c r="B210" s="8">
        <v>209</v>
      </c>
      <c r="C210" s="9">
        <v>14.550000000000002</v>
      </c>
      <c r="D210" s="10">
        <v>12.121212121212062</v>
      </c>
      <c r="E210" s="10">
        <v>10.19283746556477</v>
      </c>
      <c r="F210" s="10">
        <f t="shared" si="9"/>
        <v>23.165539694465387</v>
      </c>
      <c r="G210" s="10">
        <v>7.9026266099999992E-2</v>
      </c>
      <c r="H210" s="11">
        <v>68.527918781725887</v>
      </c>
      <c r="I210" s="12">
        <v>0.372</v>
      </c>
      <c r="J210" s="13">
        <f t="shared" si="10"/>
        <v>1.8599999999999999</v>
      </c>
      <c r="K210" s="14">
        <f t="shared" si="11"/>
        <v>355.81821428500012</v>
      </c>
    </row>
    <row r="211" spans="1:11" x14ac:dyDescent="0.15">
      <c r="A211" s="51"/>
      <c r="B211" s="8">
        <v>210</v>
      </c>
      <c r="C211" s="9">
        <v>14.600000000000003</v>
      </c>
      <c r="D211" s="10">
        <v>10.502283105022773</v>
      </c>
      <c r="E211" s="10">
        <v>12.785388127853937</v>
      </c>
      <c r="F211" s="10">
        <f t="shared" si="9"/>
        <v>29.057700290577127</v>
      </c>
      <c r="G211" s="10">
        <v>6.4175967875000003E-2</v>
      </c>
      <c r="H211" s="11">
        <v>64.976599063962539</v>
      </c>
      <c r="I211" s="12">
        <v>0.44900000000000001</v>
      </c>
      <c r="J211" s="13">
        <f t="shared" si="10"/>
        <v>2.2450000000000001</v>
      </c>
      <c r="K211" s="14">
        <f t="shared" si="11"/>
        <v>358.06321428500013</v>
      </c>
    </row>
    <row r="212" spans="1:11" x14ac:dyDescent="0.15">
      <c r="A212" s="51"/>
      <c r="B212" s="8">
        <v>211</v>
      </c>
      <c r="C212" s="26">
        <v>14.650000000000004</v>
      </c>
      <c r="D212" s="10">
        <v>11.891891891891833</v>
      </c>
      <c r="E212" s="10">
        <v>8.9189189189189708</v>
      </c>
      <c r="F212" s="10">
        <f t="shared" si="9"/>
        <v>20.270270270270387</v>
      </c>
      <c r="G212" s="10">
        <v>7.8838723424999993E-2</v>
      </c>
      <c r="H212" s="11">
        <v>68.253968253968253</v>
      </c>
      <c r="I212" s="12">
        <v>0.38</v>
      </c>
      <c r="J212" s="13">
        <f t="shared" si="10"/>
        <v>1.9</v>
      </c>
      <c r="K212" s="14">
        <f t="shared" si="11"/>
        <v>359.96321428500011</v>
      </c>
    </row>
    <row r="213" spans="1:11" x14ac:dyDescent="0.15">
      <c r="A213" s="51"/>
      <c r="B213" s="8">
        <v>212</v>
      </c>
      <c r="C213" s="9">
        <v>14.700000000000005</v>
      </c>
      <c r="D213" s="10">
        <v>11.202185792349731</v>
      </c>
      <c r="E213" s="10">
        <v>10.655737704918048</v>
      </c>
      <c r="F213" s="10">
        <f t="shared" si="9"/>
        <v>24.217585692995563</v>
      </c>
      <c r="G213" s="10">
        <v>7.1659080025000002E-2</v>
      </c>
      <c r="H213" s="11">
        <v>69.855305466237951</v>
      </c>
      <c r="I213" s="12">
        <v>0.375</v>
      </c>
      <c r="J213" s="13">
        <f t="shared" si="10"/>
        <v>1.875</v>
      </c>
      <c r="K213" s="14">
        <f t="shared" si="11"/>
        <v>361.83821428500011</v>
      </c>
    </row>
    <row r="214" spans="1:11" x14ac:dyDescent="0.15">
      <c r="A214" s="51"/>
      <c r="B214" s="8">
        <v>213</v>
      </c>
      <c r="C214" s="9">
        <v>14.750000000000005</v>
      </c>
      <c r="D214" s="10">
        <v>10.117647058823524</v>
      </c>
      <c r="E214" s="10">
        <v>9.4117647058823195</v>
      </c>
      <c r="F214" s="10">
        <f t="shared" si="9"/>
        <v>21.390374331550728</v>
      </c>
      <c r="G214" s="10">
        <v>8.3204023675000002E-2</v>
      </c>
      <c r="H214" s="11">
        <v>65.748031496062993</v>
      </c>
      <c r="I214" s="12">
        <v>0.435</v>
      </c>
      <c r="J214" s="13">
        <f t="shared" si="10"/>
        <v>2.1749999999999998</v>
      </c>
      <c r="K214" s="14">
        <f t="shared" si="11"/>
        <v>364.01321428500012</v>
      </c>
    </row>
    <row r="215" spans="1:11" x14ac:dyDescent="0.15">
      <c r="A215" s="51"/>
      <c r="B215" s="8">
        <v>214</v>
      </c>
      <c r="C215" s="9">
        <v>14.800000000000006</v>
      </c>
      <c r="D215" s="10">
        <v>11.96808510638296</v>
      </c>
      <c r="E215" s="10">
        <v>8.2446808510637961</v>
      </c>
      <c r="F215" s="10">
        <f t="shared" si="9"/>
        <v>18.737911025144992</v>
      </c>
      <c r="G215" s="10">
        <v>6.867148717499999E-2</v>
      </c>
      <c r="H215" s="11">
        <v>68.046357615894038</v>
      </c>
      <c r="I215" s="12">
        <v>0.38600000000000001</v>
      </c>
      <c r="J215" s="13">
        <f t="shared" si="10"/>
        <v>1.9300000000000002</v>
      </c>
      <c r="K215" s="14">
        <f t="shared" si="11"/>
        <v>365.94321428500012</v>
      </c>
    </row>
    <row r="216" spans="1:11" x14ac:dyDescent="0.15">
      <c r="A216" s="51"/>
      <c r="B216" s="8">
        <v>215</v>
      </c>
      <c r="C216" s="9">
        <v>14.850000000000007</v>
      </c>
      <c r="D216" s="10">
        <v>11.053984575835472</v>
      </c>
      <c r="E216" s="10">
        <v>8.7403598971722349</v>
      </c>
      <c r="F216" s="10">
        <f t="shared" si="9"/>
        <v>19.864454311755079</v>
      </c>
      <c r="G216" s="10">
        <v>7.4736278049999993E-2</v>
      </c>
      <c r="H216" s="11">
        <v>68.362480127186018</v>
      </c>
      <c r="I216" s="12">
        <v>0.39800000000000002</v>
      </c>
      <c r="J216" s="13">
        <f t="shared" si="10"/>
        <v>1.9900000000000002</v>
      </c>
      <c r="K216" s="14">
        <f t="shared" si="11"/>
        <v>367.93321428500013</v>
      </c>
    </row>
    <row r="217" spans="1:11" x14ac:dyDescent="0.15">
      <c r="A217" s="51"/>
      <c r="B217" s="8">
        <v>216</v>
      </c>
      <c r="C217" s="9">
        <v>14.900000000000007</v>
      </c>
      <c r="D217" s="10">
        <v>10.59907834101384</v>
      </c>
      <c r="E217" s="10">
        <v>9.9078341013824787</v>
      </c>
      <c r="F217" s="10">
        <f t="shared" si="9"/>
        <v>22.517804775869269</v>
      </c>
      <c r="G217" s="10">
        <v>6.9310702225000007E-2</v>
      </c>
      <c r="H217" s="31">
        <v>65.661252900232014</v>
      </c>
      <c r="I217" s="12">
        <v>0.44400000000000001</v>
      </c>
      <c r="J217" s="13">
        <f t="shared" si="10"/>
        <v>2.2200000000000002</v>
      </c>
      <c r="K217" s="14">
        <f t="shared" si="11"/>
        <v>370.15321428500016</v>
      </c>
    </row>
    <row r="218" spans="1:11" x14ac:dyDescent="0.15">
      <c r="A218" s="51"/>
      <c r="B218" s="8">
        <v>217</v>
      </c>
      <c r="C218" s="9">
        <v>14.950000000000008</v>
      </c>
      <c r="D218" s="10">
        <v>9.7107438016529386</v>
      </c>
      <c r="E218" s="10">
        <v>9.5041322314049737</v>
      </c>
      <c r="F218" s="10">
        <f t="shared" si="9"/>
        <v>21.600300525920396</v>
      </c>
      <c r="G218" s="10">
        <v>6.0502318425E-2</v>
      </c>
      <c r="H218" s="31">
        <v>63.927272727272729</v>
      </c>
      <c r="I218" s="12">
        <v>0.496</v>
      </c>
      <c r="J218" s="13">
        <f t="shared" si="10"/>
        <v>2.48</v>
      </c>
      <c r="K218" s="14">
        <f t="shared" si="11"/>
        <v>372.63321428500018</v>
      </c>
    </row>
    <row r="219" spans="1:11" x14ac:dyDescent="0.15">
      <c r="A219" s="51"/>
      <c r="B219" s="8">
        <v>218</v>
      </c>
      <c r="C219" s="9">
        <v>15.000000000000009</v>
      </c>
      <c r="D219" s="10">
        <v>9.999999999999968</v>
      </c>
      <c r="E219" s="10">
        <v>13.499999999999984</v>
      </c>
      <c r="F219" s="10">
        <f t="shared" si="9"/>
        <v>30.681818181818144</v>
      </c>
      <c r="G219" s="10">
        <v>6.7527658525000006E-2</v>
      </c>
      <c r="H219" s="31">
        <v>66.775777414075279</v>
      </c>
      <c r="I219" s="12">
        <v>0.40600000000000003</v>
      </c>
      <c r="J219" s="13">
        <f t="shared" si="10"/>
        <v>2.0300000000000002</v>
      </c>
      <c r="K219" s="14">
        <f t="shared" si="11"/>
        <v>374.66321428500015</v>
      </c>
    </row>
    <row r="220" spans="1:11" x14ac:dyDescent="0.15">
      <c r="A220" s="51"/>
      <c r="B220" s="8">
        <v>219</v>
      </c>
      <c r="C220" s="9">
        <v>15.05000000000001</v>
      </c>
      <c r="D220" s="10">
        <v>11.49144254278734</v>
      </c>
      <c r="E220" s="10">
        <v>10.024449877750611</v>
      </c>
      <c r="F220" s="10">
        <f t="shared" si="9"/>
        <v>22.782840631251389</v>
      </c>
      <c r="G220" s="10">
        <v>7.6554215024999997E-2</v>
      </c>
      <c r="H220" s="31">
        <v>65.71892770105606</v>
      </c>
      <c r="I220" s="12">
        <v>0.42199999999999999</v>
      </c>
      <c r="J220" s="13">
        <f t="shared" si="10"/>
        <v>2.11</v>
      </c>
      <c r="K220" s="14">
        <f t="shared" si="11"/>
        <v>376.77321428500017</v>
      </c>
    </row>
    <row r="221" spans="1:11" x14ac:dyDescent="0.15">
      <c r="A221" s="51"/>
      <c r="B221" s="8">
        <v>220</v>
      </c>
      <c r="C221" s="9">
        <v>15.3</v>
      </c>
      <c r="D221" s="10">
        <v>11.873840445269026</v>
      </c>
      <c r="E221" s="10">
        <v>9.6474953617810666</v>
      </c>
      <c r="F221" s="10">
        <f t="shared" si="9"/>
        <v>21.926125822229697</v>
      </c>
      <c r="G221" s="10">
        <v>7.4398454014317841E-2</v>
      </c>
      <c r="H221" s="31">
        <v>50.619469026548671</v>
      </c>
      <c r="I221" s="12">
        <v>0.55800000000000005</v>
      </c>
      <c r="J221" s="13">
        <f t="shared" si="10"/>
        <v>2.79</v>
      </c>
      <c r="K221" s="14">
        <f t="shared" si="11"/>
        <v>379.56321428500019</v>
      </c>
    </row>
    <row r="222" spans="1:11" x14ac:dyDescent="0.15">
      <c r="A222" s="51"/>
      <c r="B222" s="8">
        <v>221</v>
      </c>
      <c r="C222" s="9">
        <v>15.35</v>
      </c>
      <c r="D222" s="10">
        <v>12.887828162291152</v>
      </c>
      <c r="E222" s="10">
        <v>6.9212410501193116</v>
      </c>
      <c r="F222" s="10">
        <f t="shared" si="9"/>
        <v>15.730093295725709</v>
      </c>
      <c r="G222" s="10">
        <v>8.6225279434481619E-2</v>
      </c>
      <c r="H222" s="31">
        <v>65.73926868044515</v>
      </c>
      <c r="I222" s="12">
        <v>0.43099999999999999</v>
      </c>
      <c r="J222" s="13">
        <f t="shared" si="10"/>
        <v>2.1549999999999998</v>
      </c>
      <c r="K222" s="14">
        <f t="shared" si="11"/>
        <v>381.71821428500016</v>
      </c>
    </row>
    <row r="223" spans="1:11" x14ac:dyDescent="0.15">
      <c r="A223" s="51"/>
      <c r="B223" s="8">
        <v>222</v>
      </c>
      <c r="C223" s="9">
        <v>15.4</v>
      </c>
      <c r="D223" s="10">
        <v>10.262529832935554</v>
      </c>
      <c r="E223" s="10">
        <v>11.217183770883029</v>
      </c>
      <c r="F223" s="10">
        <f t="shared" si="9"/>
        <v>25.493599479279609</v>
      </c>
      <c r="G223" s="10">
        <v>9.7229533808504687E-2</v>
      </c>
      <c r="H223" s="31">
        <v>64.117647058823536</v>
      </c>
      <c r="I223" s="12">
        <v>0.42699999999999999</v>
      </c>
      <c r="J223" s="13">
        <f t="shared" si="10"/>
        <v>2.1349999999999998</v>
      </c>
      <c r="K223" s="14">
        <f t="shared" si="11"/>
        <v>383.85321428500015</v>
      </c>
    </row>
    <row r="224" spans="1:11" x14ac:dyDescent="0.15">
      <c r="A224" s="51"/>
      <c r="B224" s="8">
        <v>223</v>
      </c>
      <c r="C224" s="9">
        <v>15.450000000000001</v>
      </c>
      <c r="D224" s="10">
        <v>11.278195488721792</v>
      </c>
      <c r="E224" s="10">
        <v>8.0200501253132934</v>
      </c>
      <c r="F224" s="10">
        <f t="shared" si="9"/>
        <v>18.227386648439303</v>
      </c>
      <c r="G224" s="10">
        <v>8.8781143849214317E-2</v>
      </c>
      <c r="H224" s="31">
        <v>65.470085470085465</v>
      </c>
      <c r="I224" s="12">
        <v>0.40400000000000003</v>
      </c>
      <c r="J224" s="13">
        <f t="shared" si="10"/>
        <v>2.02</v>
      </c>
      <c r="K224" s="14">
        <f t="shared" si="11"/>
        <v>385.87321428500013</v>
      </c>
    </row>
    <row r="225" spans="1:11" x14ac:dyDescent="0.15">
      <c r="A225" s="51"/>
      <c r="B225" s="8">
        <v>224</v>
      </c>
      <c r="C225" s="9">
        <v>15.500000000000002</v>
      </c>
      <c r="D225" s="10">
        <v>7.7720207253886207</v>
      </c>
      <c r="E225" s="10">
        <v>15.284974093264248</v>
      </c>
      <c r="F225" s="10">
        <f t="shared" si="9"/>
        <v>34.738577484691476</v>
      </c>
      <c r="G225" s="10">
        <v>7.425506916454884E-2</v>
      </c>
      <c r="H225" s="31">
        <v>64.901256732495511</v>
      </c>
      <c r="I225" s="12">
        <v>0.39100000000000001</v>
      </c>
      <c r="J225" s="13">
        <f t="shared" si="10"/>
        <v>1.9550000000000001</v>
      </c>
      <c r="K225" s="14">
        <f t="shared" si="11"/>
        <v>387.82821428500012</v>
      </c>
    </row>
    <row r="226" spans="1:11" x14ac:dyDescent="0.15">
      <c r="A226" s="51"/>
      <c r="B226" s="8">
        <v>225</v>
      </c>
      <c r="C226" s="9">
        <v>15.550000000000002</v>
      </c>
      <c r="D226" s="10">
        <v>10.468319559228625</v>
      </c>
      <c r="E226" s="10">
        <v>12.396694214876018</v>
      </c>
      <c r="F226" s="10">
        <f t="shared" si="9"/>
        <v>28.17430503380913</v>
      </c>
      <c r="G226" s="10">
        <v>4.671527825336063E-2</v>
      </c>
      <c r="H226" s="31">
        <v>67.282321899736161</v>
      </c>
      <c r="I226" s="12">
        <v>0.372</v>
      </c>
      <c r="J226" s="13">
        <f t="shared" si="10"/>
        <v>1.8599999999999999</v>
      </c>
      <c r="K226" s="14">
        <f t="shared" si="11"/>
        <v>389.68821428500013</v>
      </c>
    </row>
    <row r="227" spans="1:11" x14ac:dyDescent="0.15">
      <c r="A227" s="51"/>
      <c r="B227" s="8">
        <v>226</v>
      </c>
      <c r="C227" s="9">
        <v>15.600000000000003</v>
      </c>
      <c r="D227" s="10">
        <v>11.502347417840339</v>
      </c>
      <c r="E227" s="10">
        <v>10.093896713615019</v>
      </c>
      <c r="F227" s="10">
        <f t="shared" si="9"/>
        <v>22.940674349125043</v>
      </c>
      <c r="G227" s="10">
        <v>7.929529726839088E-2</v>
      </c>
      <c r="H227" s="31">
        <v>64.967637540453069</v>
      </c>
      <c r="I227" s="12">
        <v>0.433</v>
      </c>
      <c r="J227" s="13">
        <f t="shared" si="10"/>
        <v>2.165</v>
      </c>
      <c r="K227" s="14">
        <f t="shared" si="11"/>
        <v>391.85321428500015</v>
      </c>
    </row>
    <row r="228" spans="1:11" x14ac:dyDescent="0.15">
      <c r="A228" s="51"/>
      <c r="B228" s="8">
        <v>227</v>
      </c>
      <c r="C228" s="9">
        <v>15.650000000000004</v>
      </c>
      <c r="D228" s="10">
        <v>11.597938144329882</v>
      </c>
      <c r="E228" s="10">
        <v>11.340206185567046</v>
      </c>
      <c r="F228" s="10">
        <f t="shared" si="9"/>
        <v>25.773195876288742</v>
      </c>
      <c r="G228" s="10">
        <v>6.8284217764277705E-2</v>
      </c>
      <c r="H228" s="31">
        <v>67.136929460580902</v>
      </c>
      <c r="I228" s="12">
        <v>0.39600000000000002</v>
      </c>
      <c r="J228" s="13">
        <f t="shared" si="10"/>
        <v>1.98</v>
      </c>
      <c r="K228" s="14">
        <f t="shared" si="11"/>
        <v>393.83321428500017</v>
      </c>
    </row>
    <row r="229" spans="1:11" x14ac:dyDescent="0.15">
      <c r="A229" s="51"/>
      <c r="B229" s="8">
        <v>228</v>
      </c>
      <c r="C229" s="9">
        <v>15.700000000000005</v>
      </c>
      <c r="D229" s="10">
        <v>11.316397228637381</v>
      </c>
      <c r="E229" s="10">
        <v>8.7759815242494845</v>
      </c>
      <c r="F229" s="10">
        <f t="shared" si="9"/>
        <v>19.945412555112465</v>
      </c>
      <c r="G229" s="10">
        <v>8.5406110243242059E-2</v>
      </c>
      <c r="H229" s="31">
        <v>65.393608729540134</v>
      </c>
      <c r="I229" s="12">
        <v>0.44400000000000001</v>
      </c>
      <c r="J229" s="13">
        <f t="shared" si="10"/>
        <v>2.2200000000000002</v>
      </c>
      <c r="K229" s="14">
        <f t="shared" si="11"/>
        <v>396.05321428500019</v>
      </c>
    </row>
    <row r="230" spans="1:11" x14ac:dyDescent="0.15">
      <c r="A230" s="51"/>
      <c r="B230" s="8">
        <v>229</v>
      </c>
      <c r="C230" s="9">
        <v>15.750000000000005</v>
      </c>
      <c r="D230" s="10">
        <v>11.086474501108649</v>
      </c>
      <c r="E230" s="10">
        <v>8.2039911308204214</v>
      </c>
      <c r="F230" s="10">
        <f t="shared" si="9"/>
        <v>18.645434388228232</v>
      </c>
      <c r="G230" s="10">
        <v>9.6648499456855497E-2</v>
      </c>
      <c r="H230" s="31">
        <v>64.634146341463421</v>
      </c>
      <c r="I230" s="12">
        <v>0.46400000000000002</v>
      </c>
      <c r="J230" s="13">
        <f t="shared" si="10"/>
        <v>2.3200000000000003</v>
      </c>
      <c r="K230" s="14">
        <f t="shared" si="11"/>
        <v>398.37321428500019</v>
      </c>
    </row>
    <row r="231" spans="1:11" x14ac:dyDescent="0.15">
      <c r="A231" s="51"/>
      <c r="B231" s="8">
        <v>230</v>
      </c>
      <c r="C231" s="9">
        <v>15.800000000000006</v>
      </c>
      <c r="D231" s="10">
        <v>10.648148148148168</v>
      </c>
      <c r="E231" s="10">
        <v>9.2592592592592258</v>
      </c>
      <c r="F231" s="10">
        <f t="shared" si="9"/>
        <v>21.043771043770967</v>
      </c>
      <c r="G231" s="10">
        <v>7.980400301701876E-2</v>
      </c>
      <c r="H231" s="31">
        <v>64.56</v>
      </c>
      <c r="I231" s="12">
        <v>0.443</v>
      </c>
      <c r="J231" s="13">
        <f t="shared" si="10"/>
        <v>2.2149999999999999</v>
      </c>
      <c r="K231" s="14">
        <f t="shared" si="11"/>
        <v>400.58821428500016</v>
      </c>
    </row>
    <row r="232" spans="1:11" x14ac:dyDescent="0.15">
      <c r="A232" s="51"/>
      <c r="B232" s="8">
        <v>231</v>
      </c>
      <c r="C232" s="9">
        <v>15.850000000000001</v>
      </c>
      <c r="D232" s="10">
        <v>12.249999999999961</v>
      </c>
      <c r="E232" s="10">
        <v>7.5000000000000178</v>
      </c>
      <c r="F232" s="10">
        <f t="shared" si="9"/>
        <v>17.045454545454586</v>
      </c>
      <c r="G232" s="10">
        <v>8.7193896480442498E-2</v>
      </c>
      <c r="H232" s="31">
        <v>68.009295120061964</v>
      </c>
      <c r="I232" s="12">
        <v>0.41299999999999998</v>
      </c>
      <c r="J232" s="13">
        <f t="shared" si="10"/>
        <v>2.0649999999999999</v>
      </c>
      <c r="K232" s="14">
        <f t="shared" si="11"/>
        <v>402.65321428500016</v>
      </c>
    </row>
    <row r="233" spans="1:11" x14ac:dyDescent="0.15">
      <c r="A233" s="51"/>
      <c r="B233" s="8">
        <v>232</v>
      </c>
      <c r="C233" s="9">
        <v>15.9</v>
      </c>
      <c r="D233" s="10">
        <v>11.855670103092802</v>
      </c>
      <c r="E233" s="10">
        <v>7.4742268041236875</v>
      </c>
      <c r="F233" s="10">
        <f t="shared" si="9"/>
        <v>16.986879100281108</v>
      </c>
      <c r="G233" s="10">
        <v>7.6407605100487525E-2</v>
      </c>
      <c r="H233" s="31">
        <v>67.133443163097198</v>
      </c>
      <c r="I233" s="12">
        <v>0.39900000000000002</v>
      </c>
      <c r="J233" s="13">
        <f t="shared" si="10"/>
        <v>1.9950000000000001</v>
      </c>
      <c r="K233" s="14">
        <f t="shared" si="11"/>
        <v>404.64821428500017</v>
      </c>
    </row>
    <row r="234" spans="1:11" x14ac:dyDescent="0.15">
      <c r="A234" s="51"/>
      <c r="B234" s="8">
        <v>233</v>
      </c>
      <c r="C234" s="9">
        <v>15.950000000000001</v>
      </c>
      <c r="D234" s="10">
        <v>11.415525114155253</v>
      </c>
      <c r="E234" s="10">
        <v>8.6757990867579693</v>
      </c>
      <c r="F234" s="10">
        <f t="shared" si="9"/>
        <v>19.717725197177202</v>
      </c>
      <c r="G234" s="10">
        <v>9.7433562770718976E-2</v>
      </c>
      <c r="H234" s="31">
        <v>64.701257861635213</v>
      </c>
      <c r="I234" s="12">
        <v>0.44900000000000001</v>
      </c>
      <c r="J234" s="13">
        <f t="shared" si="10"/>
        <v>2.2450000000000001</v>
      </c>
      <c r="K234" s="14">
        <f t="shared" si="11"/>
        <v>406.89321428500017</v>
      </c>
    </row>
    <row r="235" spans="1:11" x14ac:dyDescent="0.15">
      <c r="A235" s="51"/>
      <c r="B235" s="8">
        <v>234</v>
      </c>
      <c r="C235" s="9">
        <v>16.000000000000011</v>
      </c>
      <c r="D235" s="10">
        <v>12.285012285012284</v>
      </c>
      <c r="E235" s="10">
        <v>7.1253071253071036</v>
      </c>
      <c r="F235" s="10">
        <f t="shared" si="9"/>
        <v>16.193879830243418</v>
      </c>
      <c r="G235" s="10">
        <v>9.3998529580802875E-2</v>
      </c>
      <c r="H235" s="31">
        <v>66.772151898734194</v>
      </c>
      <c r="I235" s="12">
        <v>0.42</v>
      </c>
      <c r="J235" s="13">
        <f t="shared" si="10"/>
        <v>2.1</v>
      </c>
      <c r="K235" s="14">
        <f t="shared" si="11"/>
        <v>408.99321428500019</v>
      </c>
    </row>
    <row r="236" spans="1:11" x14ac:dyDescent="0.15">
      <c r="A236" s="51"/>
      <c r="B236" s="8">
        <v>235</v>
      </c>
      <c r="C236" s="9">
        <v>16.050000000000011</v>
      </c>
      <c r="D236" s="10">
        <v>14.360313315926826</v>
      </c>
      <c r="E236" s="10">
        <v>8.355091383812022</v>
      </c>
      <c r="F236" s="10">
        <f t="shared" si="9"/>
        <v>18.988844054118232</v>
      </c>
      <c r="G236" s="10">
        <v>8.9753656434649165E-2</v>
      </c>
      <c r="H236" s="31">
        <v>67.134599504541711</v>
      </c>
      <c r="I236" s="12">
        <v>0.39800000000000002</v>
      </c>
      <c r="J236" s="13">
        <f t="shared" si="10"/>
        <v>1.9900000000000002</v>
      </c>
      <c r="K236" s="14">
        <f t="shared" si="11"/>
        <v>410.9832142850002</v>
      </c>
    </row>
    <row r="237" spans="1:11" x14ac:dyDescent="0.15">
      <c r="A237" s="51"/>
      <c r="B237" s="8">
        <v>236</v>
      </c>
      <c r="C237" s="9">
        <v>16.3</v>
      </c>
      <c r="D237" s="10">
        <v>11.13801452784506</v>
      </c>
      <c r="E237" s="10">
        <v>7.2639225181597391</v>
      </c>
      <c r="F237" s="10">
        <f t="shared" si="9"/>
        <v>16.508914813999407</v>
      </c>
      <c r="G237" s="10">
        <v>0.10942392126821344</v>
      </c>
      <c r="H237" s="31">
        <v>55.205047318611989</v>
      </c>
      <c r="I237" s="12">
        <v>0.60857142900000005</v>
      </c>
      <c r="J237" s="13">
        <f t="shared" si="10"/>
        <v>3.0428571450000002</v>
      </c>
      <c r="K237" s="14">
        <f t="shared" si="11"/>
        <v>414.02607143000023</v>
      </c>
    </row>
    <row r="238" spans="1:11" x14ac:dyDescent="0.15">
      <c r="A238" s="51"/>
      <c r="B238" s="8">
        <v>237</v>
      </c>
      <c r="C238" s="9">
        <v>16.350000000000001</v>
      </c>
      <c r="D238" s="10">
        <v>12.268518518518471</v>
      </c>
      <c r="E238" s="10">
        <v>7.6388888888889381</v>
      </c>
      <c r="F238" s="10">
        <f t="shared" si="9"/>
        <v>17.361111111111224</v>
      </c>
      <c r="G238" s="10">
        <v>0.10760762875</v>
      </c>
      <c r="H238" s="31">
        <v>64.032258064516142</v>
      </c>
      <c r="I238" s="12">
        <v>0.44600000000000001</v>
      </c>
      <c r="J238" s="13">
        <f t="shared" si="10"/>
        <v>2.23</v>
      </c>
      <c r="K238" s="14">
        <f t="shared" si="11"/>
        <v>416.25607143000025</v>
      </c>
    </row>
    <row r="239" spans="1:11" x14ac:dyDescent="0.15">
      <c r="A239" s="51"/>
      <c r="B239" s="8">
        <v>238</v>
      </c>
      <c r="C239" s="9">
        <v>16.399999999999999</v>
      </c>
      <c r="D239" s="10">
        <v>11.802575107296152</v>
      </c>
      <c r="E239" s="10">
        <v>7.7253218884120054</v>
      </c>
      <c r="F239" s="10">
        <f t="shared" si="9"/>
        <v>17.557549746390922</v>
      </c>
      <c r="G239" s="10">
        <v>0.10840712349999999</v>
      </c>
      <c r="H239" s="31">
        <v>62.352941176470587</v>
      </c>
      <c r="I239" s="12">
        <v>0.48</v>
      </c>
      <c r="J239" s="13">
        <f t="shared" si="10"/>
        <v>2.4</v>
      </c>
      <c r="K239" s="14">
        <f t="shared" si="11"/>
        <v>418.65607143000022</v>
      </c>
    </row>
    <row r="240" spans="1:11" x14ac:dyDescent="0.15">
      <c r="A240" s="51"/>
      <c r="B240" s="8">
        <v>239</v>
      </c>
      <c r="C240" s="9">
        <v>16.449999999999996</v>
      </c>
      <c r="D240" s="10">
        <v>10.666666666666643</v>
      </c>
      <c r="E240" s="10">
        <v>7.6190476190476604</v>
      </c>
      <c r="F240" s="10">
        <f t="shared" si="9"/>
        <v>17.316017316017408</v>
      </c>
      <c r="G240" s="10">
        <v>8.9009720375000004E-2</v>
      </c>
      <c r="H240" s="31">
        <v>58.596761757902861</v>
      </c>
      <c r="I240" s="12">
        <v>0.53700000000000003</v>
      </c>
      <c r="J240" s="13">
        <f t="shared" si="10"/>
        <v>2.6850000000000001</v>
      </c>
      <c r="K240" s="14">
        <f t="shared" si="11"/>
        <v>421.34107143000023</v>
      </c>
    </row>
    <row r="241" spans="1:11" x14ac:dyDescent="0.15">
      <c r="A241" s="51"/>
      <c r="B241" s="8">
        <v>240</v>
      </c>
      <c r="C241" s="26">
        <v>16.499999999999993</v>
      </c>
      <c r="D241" s="10">
        <v>9.9221789883268112</v>
      </c>
      <c r="E241" s="10">
        <v>8.9494163424124693</v>
      </c>
      <c r="F241" s="10">
        <f t="shared" si="9"/>
        <v>20.339582596391974</v>
      </c>
      <c r="G241" s="10">
        <v>6.3782331500000011E-2</v>
      </c>
      <c r="H241" s="31">
        <v>60.300751879699249</v>
      </c>
      <c r="I241" s="12">
        <v>0.52800000000000002</v>
      </c>
      <c r="J241" s="13">
        <f t="shared" si="10"/>
        <v>2.64</v>
      </c>
      <c r="K241" s="14">
        <f t="shared" si="11"/>
        <v>423.98107143000021</v>
      </c>
    </row>
    <row r="242" spans="1:11" x14ac:dyDescent="0.15">
      <c r="A242" s="51"/>
      <c r="B242" s="8">
        <v>241</v>
      </c>
      <c r="C242" s="9">
        <v>16.54999999999999</v>
      </c>
      <c r="D242" s="10">
        <v>11.394891944990148</v>
      </c>
      <c r="E242" s="10">
        <v>4.7151277013752164</v>
      </c>
      <c r="F242" s="10">
        <f t="shared" si="9"/>
        <v>10.716199321307309</v>
      </c>
      <c r="G242" s="10">
        <v>4.2281971775000003E-2</v>
      </c>
      <c r="H242" s="31">
        <v>60.708898944193059</v>
      </c>
      <c r="I242" s="12">
        <v>0.52100000000000002</v>
      </c>
      <c r="J242" s="13">
        <f t="shared" si="10"/>
        <v>2.605</v>
      </c>
      <c r="K242" s="14">
        <f t="shared" si="11"/>
        <v>426.58607143000023</v>
      </c>
    </row>
    <row r="243" spans="1:11" x14ac:dyDescent="0.15">
      <c r="A243" s="51"/>
      <c r="B243" s="8">
        <v>242</v>
      </c>
      <c r="C243" s="9">
        <v>16.599999999999987</v>
      </c>
      <c r="D243" s="10">
        <v>11.73708920187793</v>
      </c>
      <c r="E243" s="10">
        <v>6.572769953051667</v>
      </c>
      <c r="F243" s="10">
        <f t="shared" si="9"/>
        <v>14.93811352966288</v>
      </c>
      <c r="G243" s="10">
        <v>2.3842705174999999E-2</v>
      </c>
      <c r="H243" s="31">
        <v>65.224358974358978</v>
      </c>
      <c r="I243" s="12">
        <v>0.434</v>
      </c>
      <c r="J243" s="13">
        <f t="shared" si="10"/>
        <v>2.17</v>
      </c>
      <c r="K243" s="14">
        <f t="shared" si="11"/>
        <v>428.75607143000025</v>
      </c>
    </row>
    <row r="244" spans="1:11" x14ac:dyDescent="0.15">
      <c r="A244" s="51"/>
      <c r="B244" s="8">
        <v>243</v>
      </c>
      <c r="C244" s="9">
        <v>16.649999999999984</v>
      </c>
      <c r="D244" s="10">
        <v>10.429447852760699</v>
      </c>
      <c r="E244" s="10">
        <v>6.3394683026584975</v>
      </c>
      <c r="F244" s="10">
        <f t="shared" si="9"/>
        <v>14.407882506042039</v>
      </c>
      <c r="G244" s="10">
        <v>3.3141809799999998E-2</v>
      </c>
      <c r="H244" s="31">
        <v>62.207105064247926</v>
      </c>
      <c r="I244" s="12">
        <v>0.5</v>
      </c>
      <c r="J244" s="13">
        <f t="shared" si="10"/>
        <v>2.5</v>
      </c>
      <c r="K244" s="14">
        <f t="shared" si="11"/>
        <v>431.25607143000025</v>
      </c>
    </row>
    <row r="245" spans="1:11" x14ac:dyDescent="0.15">
      <c r="A245" s="51"/>
      <c r="B245" s="8">
        <v>244</v>
      </c>
      <c r="C245" s="9">
        <v>16.699999999999982</v>
      </c>
      <c r="D245" s="10">
        <v>8.4317032040472188</v>
      </c>
      <c r="E245" s="10">
        <v>3.3726812816188749</v>
      </c>
      <c r="F245" s="10">
        <f t="shared" si="9"/>
        <v>7.6651847309519887</v>
      </c>
      <c r="G245" s="10">
        <v>5.7464413399999997E-2</v>
      </c>
      <c r="H245" s="31">
        <v>54.981549815498155</v>
      </c>
      <c r="I245" s="12">
        <v>0.61</v>
      </c>
      <c r="J245" s="13">
        <f t="shared" si="10"/>
        <v>3.05</v>
      </c>
      <c r="K245" s="14">
        <f t="shared" si="11"/>
        <v>434.30607143000026</v>
      </c>
    </row>
    <row r="246" spans="1:11" x14ac:dyDescent="0.15">
      <c r="A246" s="51"/>
      <c r="B246" s="8">
        <v>245</v>
      </c>
      <c r="C246" s="9">
        <v>16.749999999999979</v>
      </c>
      <c r="D246" s="10">
        <v>9.1379310344827775</v>
      </c>
      <c r="E246" s="10">
        <v>6.0344827586206522</v>
      </c>
      <c r="F246" s="10">
        <f t="shared" si="9"/>
        <v>13.714733542319664</v>
      </c>
      <c r="G246" s="10">
        <v>4.441278505E-2</v>
      </c>
      <c r="H246" s="31">
        <v>57.348703170028813</v>
      </c>
      <c r="I246" s="12">
        <v>0.59199999999999997</v>
      </c>
      <c r="J246" s="13">
        <f t="shared" si="10"/>
        <v>2.96</v>
      </c>
      <c r="K246" s="14">
        <f t="shared" si="11"/>
        <v>437.26607143000024</v>
      </c>
    </row>
    <row r="247" spans="1:11" x14ac:dyDescent="0.15">
      <c r="A247" s="51"/>
      <c r="B247" s="8">
        <v>246</v>
      </c>
      <c r="C247" s="9">
        <v>16.799999999999976</v>
      </c>
      <c r="D247" s="10">
        <v>10.557768924302742</v>
      </c>
      <c r="E247" s="10">
        <v>7.5697211155379005</v>
      </c>
      <c r="F247" s="10">
        <f t="shared" si="9"/>
        <v>17.203911626222499</v>
      </c>
      <c r="G247" s="10">
        <v>3.9123351399999999E-2</v>
      </c>
      <c r="H247" s="31">
        <v>60.04691164972634</v>
      </c>
      <c r="I247" s="12">
        <v>0.51100000000000001</v>
      </c>
      <c r="J247" s="13">
        <f t="shared" si="10"/>
        <v>2.5550000000000002</v>
      </c>
      <c r="K247" s="14">
        <f t="shared" si="11"/>
        <v>439.82107143000025</v>
      </c>
    </row>
    <row r="248" spans="1:11" x14ac:dyDescent="0.15">
      <c r="A248" s="51"/>
      <c r="B248" s="8">
        <v>247</v>
      </c>
      <c r="C248" s="9">
        <v>16.849999999999973</v>
      </c>
      <c r="D248" s="10">
        <v>9.0909090909091042</v>
      </c>
      <c r="E248" s="10">
        <v>7.1146245059288393</v>
      </c>
      <c r="F248" s="10">
        <f t="shared" si="9"/>
        <v>16.169601149838272</v>
      </c>
      <c r="G248" s="10">
        <v>4.1665923724999998E-2</v>
      </c>
      <c r="H248" s="31">
        <v>59.750390015600622</v>
      </c>
      <c r="I248" s="12">
        <v>0.51600000000000001</v>
      </c>
      <c r="J248" s="13">
        <f t="shared" si="10"/>
        <v>2.58</v>
      </c>
      <c r="K248" s="14">
        <f t="shared" si="11"/>
        <v>442.40107143000023</v>
      </c>
    </row>
    <row r="249" spans="1:11" x14ac:dyDescent="0.15">
      <c r="A249" s="51"/>
      <c r="B249" s="8">
        <v>248</v>
      </c>
      <c r="C249" s="9">
        <v>16.899999999999981</v>
      </c>
      <c r="D249" s="10">
        <v>8.9005235602093897</v>
      </c>
      <c r="E249" s="10">
        <v>5.0610820244328565</v>
      </c>
      <c r="F249" s="10">
        <f t="shared" si="9"/>
        <v>11.50245914643831</v>
      </c>
      <c r="G249" s="10">
        <v>4.3868655550000003E-2</v>
      </c>
      <c r="H249" s="31">
        <v>57.955363570914322</v>
      </c>
      <c r="I249" s="12">
        <v>0.58399999999999996</v>
      </c>
      <c r="J249" s="13">
        <f t="shared" si="10"/>
        <v>2.92</v>
      </c>
      <c r="K249" s="14">
        <f t="shared" si="11"/>
        <v>445.32107143000025</v>
      </c>
    </row>
    <row r="250" spans="1:11" x14ac:dyDescent="0.15">
      <c r="A250" s="51"/>
      <c r="B250" s="8">
        <v>249</v>
      </c>
      <c r="C250" s="9">
        <v>16.949999999999989</v>
      </c>
      <c r="D250" s="10">
        <v>8.56672158154859</v>
      </c>
      <c r="E250" s="10">
        <v>5.7660626029654249</v>
      </c>
      <c r="F250" s="10">
        <f t="shared" si="9"/>
        <v>13.10468773401233</v>
      </c>
      <c r="G250" s="10">
        <v>4.8223732875000008E-2</v>
      </c>
      <c r="H250" s="31">
        <v>54.909090909090907</v>
      </c>
      <c r="I250" s="12">
        <v>0.62</v>
      </c>
      <c r="J250" s="13">
        <f t="shared" si="10"/>
        <v>3.1</v>
      </c>
      <c r="K250" s="14">
        <f t="shared" si="11"/>
        <v>448.42107143000027</v>
      </c>
    </row>
    <row r="251" spans="1:11" x14ac:dyDescent="0.15">
      <c r="A251" s="51"/>
      <c r="B251" s="8">
        <v>250</v>
      </c>
      <c r="C251" s="9">
        <v>16.999999999999996</v>
      </c>
      <c r="D251" s="10">
        <v>9.6930533117931823</v>
      </c>
      <c r="E251" s="10">
        <v>4.3618739903069397</v>
      </c>
      <c r="F251" s="10">
        <f t="shared" si="9"/>
        <v>9.9133499779703182</v>
      </c>
      <c r="G251" s="10">
        <v>5.0197627474999999E-2</v>
      </c>
      <c r="H251" s="31">
        <v>55.049786628734012</v>
      </c>
      <c r="I251" s="12">
        <v>0.63200000000000001</v>
      </c>
      <c r="J251" s="13">
        <f t="shared" si="10"/>
        <v>3.16</v>
      </c>
      <c r="K251" s="14">
        <f t="shared" si="11"/>
        <v>451.58107143000029</v>
      </c>
    </row>
    <row r="252" spans="1:11" x14ac:dyDescent="0.15">
      <c r="A252" s="51"/>
      <c r="B252" s="8">
        <v>251</v>
      </c>
      <c r="C252" s="9">
        <v>17.050000000000004</v>
      </c>
      <c r="D252" s="10">
        <v>8.2695252679939149</v>
      </c>
      <c r="E252" s="10">
        <v>6.2787136294027031</v>
      </c>
      <c r="F252" s="10">
        <f t="shared" si="9"/>
        <v>14.269803703187961</v>
      </c>
      <c r="G252" s="10">
        <v>4.5505994474999999E-2</v>
      </c>
      <c r="H252" s="31">
        <v>52.261306532663319</v>
      </c>
      <c r="I252" s="12">
        <v>0.66500000000000004</v>
      </c>
      <c r="J252" s="13">
        <f t="shared" si="10"/>
        <v>3.3250000000000002</v>
      </c>
      <c r="K252" s="14">
        <f t="shared" si="11"/>
        <v>454.90607143000028</v>
      </c>
    </row>
    <row r="253" spans="1:11" x14ac:dyDescent="0.15">
      <c r="A253" s="51"/>
      <c r="B253" s="8">
        <v>252</v>
      </c>
      <c r="C253" s="9">
        <v>17.45</v>
      </c>
      <c r="D253" s="10">
        <v>8.9253187613843092</v>
      </c>
      <c r="E253" s="10">
        <v>5.1001821493624995</v>
      </c>
      <c r="F253" s="10">
        <f t="shared" si="9"/>
        <v>11.591323066732953</v>
      </c>
      <c r="G253" s="10">
        <v>4.8875591975E-2</v>
      </c>
      <c r="H253" s="31">
        <v>57.623318385650222</v>
      </c>
      <c r="I253" s="12">
        <v>0.56699999999999995</v>
      </c>
      <c r="J253" s="13">
        <f t="shared" si="10"/>
        <v>2.835</v>
      </c>
      <c r="K253" s="14">
        <f t="shared" si="11"/>
        <v>457.74107143000026</v>
      </c>
    </row>
    <row r="254" spans="1:11" x14ac:dyDescent="0.15">
      <c r="A254" s="51"/>
      <c r="B254" s="8">
        <v>253</v>
      </c>
      <c r="C254" s="9">
        <v>17.5</v>
      </c>
      <c r="D254" s="10">
        <v>8.5454545454545237</v>
      </c>
      <c r="E254" s="10">
        <v>4.3636363636363997</v>
      </c>
      <c r="F254" s="10">
        <f t="shared" si="9"/>
        <v>9.9173553719009089</v>
      </c>
      <c r="G254" s="10">
        <v>5.5866983699999997E-2</v>
      </c>
      <c r="H254" s="31">
        <v>57.324364723467873</v>
      </c>
      <c r="I254" s="12">
        <v>0.57099999999999995</v>
      </c>
      <c r="J254" s="13">
        <f t="shared" si="10"/>
        <v>2.8549999999999995</v>
      </c>
      <c r="K254" s="14">
        <f t="shared" si="11"/>
        <v>460.59607143000028</v>
      </c>
    </row>
    <row r="255" spans="1:11" x14ac:dyDescent="0.15">
      <c r="A255" s="51"/>
      <c r="B255" s="8">
        <v>254</v>
      </c>
      <c r="C255" s="9">
        <v>17.549999999999997</v>
      </c>
      <c r="D255" s="10">
        <v>9.864603481624723</v>
      </c>
      <c r="E255" s="10">
        <v>4.8355899419729225</v>
      </c>
      <c r="F255" s="10">
        <f t="shared" si="9"/>
        <v>10.98997714084755</v>
      </c>
      <c r="G255" s="10">
        <v>6.7509835749999997E-2</v>
      </c>
      <c r="H255" s="31">
        <v>59.789947486871718</v>
      </c>
      <c r="I255" s="12">
        <v>0.53600000000000003</v>
      </c>
      <c r="J255" s="13">
        <f t="shared" si="10"/>
        <v>2.68</v>
      </c>
      <c r="K255" s="14">
        <f t="shared" si="11"/>
        <v>463.27607143000029</v>
      </c>
    </row>
    <row r="256" spans="1:11" x14ac:dyDescent="0.15">
      <c r="A256" s="51"/>
      <c r="B256" s="8">
        <v>255</v>
      </c>
      <c r="C256" s="9">
        <v>17.599999999999994</v>
      </c>
      <c r="D256" s="10">
        <v>7.8364565587734401</v>
      </c>
      <c r="E256" s="10">
        <v>10.732538330494021</v>
      </c>
      <c r="F256" s="10">
        <f t="shared" si="9"/>
        <v>24.392132569304593</v>
      </c>
      <c r="G256" s="10">
        <v>4.3216192974999998E-2</v>
      </c>
      <c r="H256" s="31">
        <v>57.356076759061828</v>
      </c>
      <c r="I256" s="12">
        <v>0.6</v>
      </c>
      <c r="J256" s="13">
        <f t="shared" si="10"/>
        <v>3</v>
      </c>
      <c r="K256" s="14">
        <f t="shared" si="11"/>
        <v>466.27607143000029</v>
      </c>
    </row>
    <row r="257" spans="1:11" x14ac:dyDescent="0.15">
      <c r="A257" s="51"/>
      <c r="B257" s="8">
        <v>256</v>
      </c>
      <c r="C257" s="9">
        <v>17.649999999999991</v>
      </c>
      <c r="D257" s="10">
        <v>6.6413662239088787</v>
      </c>
      <c r="E257" s="10">
        <v>10.246679316888098</v>
      </c>
      <c r="F257" s="10">
        <f t="shared" si="9"/>
        <v>23.28790753838204</v>
      </c>
      <c r="G257" s="10">
        <v>4.2457205975000002E-2</v>
      </c>
      <c r="H257" s="31">
        <v>58.301158301158303</v>
      </c>
      <c r="I257" s="12">
        <v>0.54</v>
      </c>
      <c r="J257" s="13">
        <f t="shared" si="10"/>
        <v>2.7</v>
      </c>
      <c r="K257" s="14">
        <f t="shared" si="11"/>
        <v>468.97607143000027</v>
      </c>
    </row>
    <row r="258" spans="1:11" x14ac:dyDescent="0.15">
      <c r="A258" s="51"/>
      <c r="B258" s="8">
        <v>257</v>
      </c>
      <c r="C258" s="9">
        <v>17.699999999999989</v>
      </c>
      <c r="D258" s="10">
        <v>6.5335753176043454</v>
      </c>
      <c r="E258" s="10">
        <v>7.4410163339382969</v>
      </c>
      <c r="F258" s="10">
        <f t="shared" ref="F258:F303" si="12">E258/0.44</f>
        <v>16.911400758950673</v>
      </c>
      <c r="G258" s="10">
        <v>4.0818957650000001E-2</v>
      </c>
      <c r="H258" s="31">
        <v>58.110119047619051</v>
      </c>
      <c r="I258" s="12">
        <v>0.56299999999999994</v>
      </c>
      <c r="J258" s="13">
        <f t="shared" si="10"/>
        <v>2.8149999999999995</v>
      </c>
      <c r="K258" s="14">
        <f t="shared" si="11"/>
        <v>471.79107143000027</v>
      </c>
    </row>
    <row r="259" spans="1:11" x14ac:dyDescent="0.15">
      <c r="A259" s="51"/>
      <c r="B259" s="8">
        <v>258</v>
      </c>
      <c r="C259" s="9">
        <v>17.749999999999986</v>
      </c>
      <c r="D259" s="10">
        <v>7.7057793345008365</v>
      </c>
      <c r="E259" s="10">
        <v>9.1068301225919388</v>
      </c>
      <c r="F259" s="10">
        <f t="shared" si="12"/>
        <v>20.69734118770895</v>
      </c>
      <c r="G259" s="10">
        <v>3.7557347050000002E-2</v>
      </c>
      <c r="H259" s="31">
        <v>57.661583151779233</v>
      </c>
      <c r="I259" s="12">
        <v>0.58299999999999996</v>
      </c>
      <c r="J259" s="13">
        <f t="shared" si="10"/>
        <v>2.915</v>
      </c>
      <c r="K259" s="14">
        <f t="shared" si="11"/>
        <v>474.70607143000029</v>
      </c>
    </row>
    <row r="260" spans="1:11" x14ac:dyDescent="0.15">
      <c r="A260" s="51"/>
      <c r="B260" s="8">
        <v>259</v>
      </c>
      <c r="C260" s="9">
        <v>17.799999999999983</v>
      </c>
      <c r="D260" s="10">
        <v>5.6880733944954533</v>
      </c>
      <c r="E260" s="10">
        <v>13.577981651376113</v>
      </c>
      <c r="F260" s="10">
        <f t="shared" si="12"/>
        <v>30.859049207672985</v>
      </c>
      <c r="G260" s="10">
        <v>3.4565549525000003E-2</v>
      </c>
      <c r="H260" s="31">
        <v>57.898715041572189</v>
      </c>
      <c r="I260" s="12">
        <v>0.55700000000000005</v>
      </c>
      <c r="J260" s="13">
        <f t="shared" ref="J260:J303" si="13">I260*5</f>
        <v>2.7850000000000001</v>
      </c>
      <c r="K260" s="14">
        <f t="shared" ref="K260:K303" si="14">J260+K259</f>
        <v>477.49107143000032</v>
      </c>
    </row>
    <row r="261" spans="1:11" x14ac:dyDescent="0.15">
      <c r="A261" s="51"/>
      <c r="B261" s="8">
        <v>260</v>
      </c>
      <c r="C261" s="9">
        <v>17.84999999999998</v>
      </c>
      <c r="D261" s="10">
        <v>3.7105751391465538</v>
      </c>
      <c r="E261" s="10">
        <v>12.430426716141033</v>
      </c>
      <c r="F261" s="10">
        <f t="shared" si="12"/>
        <v>28.250969809411441</v>
      </c>
      <c r="G261" s="10">
        <v>2.3420178074999999E-2</v>
      </c>
      <c r="H261" s="31">
        <v>59.411764705882355</v>
      </c>
      <c r="I261" s="12">
        <v>0.55200000000000005</v>
      </c>
      <c r="J261" s="13">
        <f t="shared" si="13"/>
        <v>2.7600000000000002</v>
      </c>
      <c r="K261" s="14">
        <f t="shared" si="14"/>
        <v>480.25107143000031</v>
      </c>
    </row>
    <row r="262" spans="1:11" x14ac:dyDescent="0.15">
      <c r="A262" s="51"/>
      <c r="B262" s="8">
        <v>261</v>
      </c>
      <c r="C262" s="9">
        <v>17.899999999999977</v>
      </c>
      <c r="D262" s="10">
        <v>5.4104477611940132</v>
      </c>
      <c r="E262" s="10">
        <v>9.3283582089552208</v>
      </c>
      <c r="F262" s="10">
        <f t="shared" si="12"/>
        <v>21.200814111261867</v>
      </c>
      <c r="G262" s="10">
        <v>3.7658160075000002E-2</v>
      </c>
      <c r="H262" s="31">
        <v>59.118086696562031</v>
      </c>
      <c r="I262" s="12">
        <v>0.54700000000000004</v>
      </c>
      <c r="J262" s="13">
        <f t="shared" si="13"/>
        <v>2.7350000000000003</v>
      </c>
      <c r="K262" s="14">
        <f t="shared" si="14"/>
        <v>482.98607143000032</v>
      </c>
    </row>
    <row r="263" spans="1:11" x14ac:dyDescent="0.15">
      <c r="A263" s="51"/>
      <c r="B263" s="8">
        <v>262</v>
      </c>
      <c r="C263" s="9">
        <v>17.949999999999974</v>
      </c>
      <c r="D263" s="10">
        <v>7.879924953095653</v>
      </c>
      <c r="E263" s="10">
        <v>3.3771106941838611</v>
      </c>
      <c r="F263" s="10">
        <f t="shared" si="12"/>
        <v>7.6752515776905934</v>
      </c>
      <c r="G263" s="10">
        <v>5.0916085174999993E-2</v>
      </c>
      <c r="H263" s="31">
        <v>58.51063829787234</v>
      </c>
      <c r="I263" s="12">
        <v>0.54600000000000004</v>
      </c>
      <c r="J263" s="13">
        <f t="shared" si="13"/>
        <v>2.7300000000000004</v>
      </c>
      <c r="K263" s="14">
        <f t="shared" si="14"/>
        <v>485.71607143000034</v>
      </c>
    </row>
    <row r="264" spans="1:11" x14ac:dyDescent="0.15">
      <c r="A264" s="51"/>
      <c r="B264" s="8">
        <v>263</v>
      </c>
      <c r="C264" s="9">
        <v>17.999999999999972</v>
      </c>
      <c r="D264" s="10">
        <v>7.547169811320793</v>
      </c>
      <c r="E264" s="10">
        <v>5.8490566037735601</v>
      </c>
      <c r="F264" s="10">
        <f t="shared" si="12"/>
        <v>13.293310463121728</v>
      </c>
      <c r="G264" s="10">
        <v>0.12929670300000001</v>
      </c>
      <c r="H264" s="31">
        <v>59.866962305986689</v>
      </c>
      <c r="I264" s="12">
        <v>0.54300000000000004</v>
      </c>
      <c r="J264" s="13">
        <f t="shared" si="13"/>
        <v>2.7150000000000003</v>
      </c>
      <c r="K264" s="14">
        <f t="shared" si="14"/>
        <v>488.43107143000032</v>
      </c>
    </row>
    <row r="265" spans="1:11" x14ac:dyDescent="0.15">
      <c r="A265" s="52"/>
      <c r="B265" s="15">
        <v>264</v>
      </c>
      <c r="C265" s="16">
        <v>18.049999999999969</v>
      </c>
      <c r="D265" s="17">
        <v>7.8895463510847863</v>
      </c>
      <c r="E265" s="17">
        <v>4.7337278106509286</v>
      </c>
      <c r="F265" s="17">
        <f t="shared" si="12"/>
        <v>10.758472296933929</v>
      </c>
      <c r="G265" s="17">
        <v>6.1877715950000002E-2</v>
      </c>
      <c r="H265" s="32">
        <v>59.877488514548233</v>
      </c>
      <c r="I265" s="19">
        <v>0.52400000000000002</v>
      </c>
      <c r="J265" s="20">
        <f t="shared" si="13"/>
        <v>2.62</v>
      </c>
      <c r="K265" s="21">
        <f t="shared" si="14"/>
        <v>491.05107143000032</v>
      </c>
    </row>
    <row r="266" spans="1:11" x14ac:dyDescent="0.15">
      <c r="A266" s="53"/>
      <c r="B266" s="2">
        <v>265</v>
      </c>
      <c r="C266" s="29">
        <v>18.149999999999999</v>
      </c>
      <c r="D266" s="4">
        <v>13.772455089820381</v>
      </c>
      <c r="E266" s="4">
        <v>5.5389221556886366</v>
      </c>
      <c r="F266" s="4">
        <f t="shared" si="12"/>
        <v>12.588459444746901</v>
      </c>
      <c r="G266" s="4">
        <v>1.714746935</v>
      </c>
      <c r="H266" s="22">
        <v>54.509018036072135</v>
      </c>
      <c r="I266" s="23">
        <v>0.68100000000000005</v>
      </c>
      <c r="J266" s="24">
        <f t="shared" si="13"/>
        <v>3.4050000000000002</v>
      </c>
      <c r="K266" s="25">
        <f t="shared" si="14"/>
        <v>494.45607143000029</v>
      </c>
    </row>
    <row r="267" spans="1:11" x14ac:dyDescent="0.15">
      <c r="A267" s="54"/>
      <c r="B267" s="33">
        <v>266</v>
      </c>
      <c r="C267" s="26">
        <v>18.2</v>
      </c>
      <c r="D267" s="34">
        <v>10.089020771513352</v>
      </c>
      <c r="E267" s="34">
        <v>11.572700296735819</v>
      </c>
      <c r="F267" s="34">
        <f t="shared" si="12"/>
        <v>26.301591583490499</v>
      </c>
      <c r="G267" s="35">
        <v>15.415315625000002</v>
      </c>
      <c r="H267" s="11">
        <v>70.657672849915684</v>
      </c>
      <c r="I267" s="12">
        <v>0.34799999999999998</v>
      </c>
      <c r="J267" s="13">
        <f t="shared" si="13"/>
        <v>1.7399999999999998</v>
      </c>
      <c r="K267" s="14">
        <f t="shared" si="14"/>
        <v>496.1960714300003</v>
      </c>
    </row>
    <row r="268" spans="1:11" x14ac:dyDescent="0.15">
      <c r="A268" s="54"/>
      <c r="B268" s="8">
        <v>267</v>
      </c>
      <c r="C268" s="9">
        <v>18.250000000000004</v>
      </c>
      <c r="D268" s="10">
        <v>9.8484848484848602</v>
      </c>
      <c r="E268" s="10">
        <v>10.858585858585849</v>
      </c>
      <c r="F268" s="10">
        <f t="shared" si="12"/>
        <v>24.678604224058748</v>
      </c>
      <c r="G268" s="10">
        <v>1.6185618399999999</v>
      </c>
      <c r="H268" s="11">
        <v>67.281105990783416</v>
      </c>
      <c r="I268" s="12">
        <v>0.42599999999999999</v>
      </c>
      <c r="J268" s="13">
        <f t="shared" si="13"/>
        <v>2.13</v>
      </c>
      <c r="K268" s="14">
        <f t="shared" si="14"/>
        <v>498.3260714300003</v>
      </c>
    </row>
    <row r="269" spans="1:11" x14ac:dyDescent="0.15">
      <c r="A269" s="54"/>
      <c r="B269" s="8">
        <v>268</v>
      </c>
      <c r="C269" s="9">
        <v>18.300000000000008</v>
      </c>
      <c r="D269" s="10">
        <v>15.384615384615378</v>
      </c>
      <c r="E269" s="10">
        <v>4.4378698224851663</v>
      </c>
      <c r="F269" s="10">
        <f t="shared" si="12"/>
        <v>10.086067778375378</v>
      </c>
      <c r="G269" s="10">
        <v>0.92075106675000007</v>
      </c>
      <c r="H269" s="11">
        <v>71.372239747634069</v>
      </c>
      <c r="I269" s="12">
        <v>0.36299999999999999</v>
      </c>
      <c r="J269" s="13">
        <f t="shared" si="13"/>
        <v>1.8149999999999999</v>
      </c>
      <c r="K269" s="14">
        <f t="shared" si="14"/>
        <v>500.1410714300003</v>
      </c>
    </row>
    <row r="270" spans="1:11" x14ac:dyDescent="0.15">
      <c r="A270" s="54"/>
      <c r="B270" s="8">
        <v>269</v>
      </c>
      <c r="C270" s="9">
        <v>18.350000000000012</v>
      </c>
      <c r="D270" s="10">
        <v>15.461346633416396</v>
      </c>
      <c r="E270" s="10">
        <v>4.7381546134663663</v>
      </c>
      <c r="F270" s="10">
        <f t="shared" si="12"/>
        <v>10.768533212423559</v>
      </c>
      <c r="G270" s="10">
        <v>0.7853972025</v>
      </c>
      <c r="H270" s="11">
        <v>70.778773259820809</v>
      </c>
      <c r="I270" s="12">
        <v>0.42399999999999999</v>
      </c>
      <c r="J270" s="13">
        <f t="shared" si="13"/>
        <v>2.12</v>
      </c>
      <c r="K270" s="14">
        <f t="shared" si="14"/>
        <v>502.2610714300003</v>
      </c>
    </row>
    <row r="271" spans="1:11" x14ac:dyDescent="0.15">
      <c r="A271" s="54"/>
      <c r="B271" s="8">
        <v>270</v>
      </c>
      <c r="C271" s="9">
        <v>18.399999999999999</v>
      </c>
      <c r="D271" s="10">
        <v>9.387755102040833</v>
      </c>
      <c r="E271" s="10">
        <v>4.0816326530612095</v>
      </c>
      <c r="F271" s="10">
        <f t="shared" si="12"/>
        <v>9.2764378478663847</v>
      </c>
      <c r="G271" s="10">
        <v>0.48412556274999996</v>
      </c>
      <c r="H271" s="11">
        <v>63.038714390065742</v>
      </c>
      <c r="I271" s="12">
        <v>0.50600000000000001</v>
      </c>
      <c r="J271" s="13">
        <f t="shared" si="13"/>
        <v>2.5300000000000002</v>
      </c>
      <c r="K271" s="14">
        <f t="shared" si="14"/>
        <v>504.79107143000027</v>
      </c>
    </row>
    <row r="272" spans="1:11" x14ac:dyDescent="0.15">
      <c r="A272" s="54"/>
      <c r="B272" s="8">
        <v>271</v>
      </c>
      <c r="C272" s="9">
        <v>18.450000000000021</v>
      </c>
      <c r="D272" s="10">
        <v>5.5800293685756088</v>
      </c>
      <c r="E272" s="10">
        <v>2.9368575624082127</v>
      </c>
      <c r="F272" s="10">
        <f t="shared" si="12"/>
        <v>6.6746762782004838</v>
      </c>
      <c r="G272" s="10">
        <v>0.45236369274999999</v>
      </c>
      <c r="H272" s="11">
        <v>51.903114186851205</v>
      </c>
      <c r="I272" s="12">
        <v>0.69499999999999995</v>
      </c>
      <c r="J272" s="13">
        <f t="shared" si="13"/>
        <v>3.4749999999999996</v>
      </c>
      <c r="K272" s="14">
        <f t="shared" si="14"/>
        <v>508.2660714300003</v>
      </c>
    </row>
    <row r="273" spans="1:11" x14ac:dyDescent="0.15">
      <c r="A273" s="55"/>
      <c r="B273" s="15">
        <v>272</v>
      </c>
      <c r="C273" s="16">
        <v>18.500000000000011</v>
      </c>
      <c r="D273" s="17">
        <v>5.8732612055641278</v>
      </c>
      <c r="E273" s="17">
        <v>3.0911901081916984</v>
      </c>
      <c r="F273" s="17">
        <f t="shared" si="12"/>
        <v>7.0254320640720413</v>
      </c>
      <c r="G273" s="17">
        <v>0.51670585200000008</v>
      </c>
      <c r="H273" s="18">
        <v>52.333094041636755</v>
      </c>
      <c r="I273" s="19">
        <v>0.66400000000000003</v>
      </c>
      <c r="J273" s="20">
        <f t="shared" si="13"/>
        <v>3.3200000000000003</v>
      </c>
      <c r="K273" s="21">
        <f t="shared" si="14"/>
        <v>511.58607143000029</v>
      </c>
    </row>
    <row r="274" spans="1:11" x14ac:dyDescent="0.15">
      <c r="A274" s="50"/>
      <c r="B274" s="2">
        <v>273</v>
      </c>
      <c r="C274" s="29">
        <v>18.550000000000015</v>
      </c>
      <c r="D274" s="4">
        <v>5.8558558558558627</v>
      </c>
      <c r="E274" s="4">
        <v>2.5525525525525774</v>
      </c>
      <c r="F274" s="4">
        <f t="shared" si="12"/>
        <v>5.8012558012558575</v>
      </c>
      <c r="G274" s="4">
        <v>1.5523796599999999</v>
      </c>
      <c r="H274" s="22">
        <v>52.350877192982445</v>
      </c>
      <c r="I274" s="23">
        <v>0.67900000000000005</v>
      </c>
      <c r="J274" s="24">
        <f t="shared" si="13"/>
        <v>3.3950000000000005</v>
      </c>
      <c r="K274" s="25">
        <f t="shared" si="14"/>
        <v>514.98107143000027</v>
      </c>
    </row>
    <row r="275" spans="1:11" x14ac:dyDescent="0.15">
      <c r="A275" s="51"/>
      <c r="B275" s="8">
        <v>274</v>
      </c>
      <c r="C275" s="9">
        <v>18.8</v>
      </c>
      <c r="D275" s="10">
        <v>6.1251664447403567</v>
      </c>
      <c r="E275" s="10">
        <v>2.6631158455392709</v>
      </c>
      <c r="F275" s="10">
        <f t="shared" si="12"/>
        <v>6.0525360125892522</v>
      </c>
      <c r="G275" s="10">
        <v>0.69061472494392195</v>
      </c>
      <c r="H275" s="11">
        <v>47.713310580204784</v>
      </c>
      <c r="I275" s="12">
        <v>0.76600000000000001</v>
      </c>
      <c r="J275" s="13">
        <f t="shared" si="13"/>
        <v>3.83</v>
      </c>
      <c r="K275" s="14">
        <f t="shared" si="14"/>
        <v>518.81107143000031</v>
      </c>
    </row>
    <row r="276" spans="1:11" x14ac:dyDescent="0.15">
      <c r="A276" s="51"/>
      <c r="B276" s="8">
        <v>275</v>
      </c>
      <c r="C276" s="9">
        <v>18.850000000000001</v>
      </c>
      <c r="D276" s="10">
        <v>5.6303549571603533</v>
      </c>
      <c r="E276" s="10">
        <v>2.937576499387986</v>
      </c>
      <c r="F276" s="10">
        <f t="shared" si="12"/>
        <v>6.6763102258817861</v>
      </c>
      <c r="G276" s="10">
        <v>1.3247181955894551</v>
      </c>
      <c r="H276" s="11">
        <v>44.914134742404229</v>
      </c>
      <c r="I276" s="12">
        <v>0.83399999999999996</v>
      </c>
      <c r="J276" s="13">
        <f t="shared" si="13"/>
        <v>4.17</v>
      </c>
      <c r="K276" s="14">
        <f t="shared" si="14"/>
        <v>522.98107143000027</v>
      </c>
    </row>
    <row r="277" spans="1:11" x14ac:dyDescent="0.15">
      <c r="A277" s="51"/>
      <c r="B277" s="8">
        <v>276</v>
      </c>
      <c r="C277" s="9">
        <v>18.899999999999999</v>
      </c>
      <c r="D277" s="10">
        <v>5.4437869822485316</v>
      </c>
      <c r="E277" s="10">
        <v>2.8402366863905142</v>
      </c>
      <c r="F277" s="10">
        <f t="shared" si="12"/>
        <v>6.4550833781602597</v>
      </c>
      <c r="G277" s="10">
        <v>1.45152195080488</v>
      </c>
      <c r="H277" s="11">
        <v>43.835616438356162</v>
      </c>
      <c r="I277" s="12">
        <v>0.86099999999999999</v>
      </c>
      <c r="J277" s="13">
        <f t="shared" si="13"/>
        <v>4.3049999999999997</v>
      </c>
      <c r="K277" s="14">
        <f t="shared" si="14"/>
        <v>527.28607143000022</v>
      </c>
    </row>
    <row r="278" spans="1:11" x14ac:dyDescent="0.15">
      <c r="A278" s="51"/>
      <c r="B278" s="8">
        <v>277</v>
      </c>
      <c r="C278" s="9">
        <v>18.949999999999996</v>
      </c>
      <c r="D278" s="10">
        <v>4.9886621315192876</v>
      </c>
      <c r="E278" s="10">
        <v>3.0612244897959129</v>
      </c>
      <c r="F278" s="10">
        <f t="shared" si="12"/>
        <v>6.9573283858998023</v>
      </c>
      <c r="G278" s="10">
        <v>0.60921155081748823</v>
      </c>
      <c r="H278" s="11">
        <v>42.829827915869991</v>
      </c>
      <c r="I278" s="12">
        <v>0.89700000000000002</v>
      </c>
      <c r="J278" s="13">
        <f t="shared" si="13"/>
        <v>4.4850000000000003</v>
      </c>
      <c r="K278" s="14">
        <f t="shared" si="14"/>
        <v>531.77107143000023</v>
      </c>
    </row>
    <row r="279" spans="1:11" x14ac:dyDescent="0.15">
      <c r="A279" s="51"/>
      <c r="B279" s="8">
        <v>278</v>
      </c>
      <c r="C279" s="9">
        <v>18.999999999999993</v>
      </c>
      <c r="D279" s="10">
        <v>5.2825552825552782</v>
      </c>
      <c r="E279" s="10">
        <v>2.7027027027027324</v>
      </c>
      <c r="F279" s="10">
        <f t="shared" si="12"/>
        <v>6.1425061425062095</v>
      </c>
      <c r="G279" s="10">
        <v>1.3657165650317173</v>
      </c>
      <c r="H279" s="11">
        <v>44.504021447721165</v>
      </c>
      <c r="I279" s="12">
        <v>0.82799999999999996</v>
      </c>
      <c r="J279" s="13">
        <f t="shared" si="13"/>
        <v>4.1399999999999997</v>
      </c>
      <c r="K279" s="14">
        <f t="shared" si="14"/>
        <v>535.91107143000022</v>
      </c>
    </row>
    <row r="280" spans="1:11" x14ac:dyDescent="0.15">
      <c r="A280" s="51"/>
      <c r="B280" s="8">
        <v>279</v>
      </c>
      <c r="C280" s="9">
        <v>19.04999999999999</v>
      </c>
      <c r="D280" s="10">
        <v>5.1664753157290395</v>
      </c>
      <c r="E280" s="10">
        <v>2.7554535017221817</v>
      </c>
      <c r="F280" s="10">
        <f t="shared" si="12"/>
        <v>6.2623943220958678</v>
      </c>
      <c r="G280" s="10">
        <v>1.0279525256563424</v>
      </c>
      <c r="H280" s="11">
        <v>43.638676844783717</v>
      </c>
      <c r="I280" s="12">
        <v>0.88600000000000001</v>
      </c>
      <c r="J280" s="13">
        <f t="shared" si="13"/>
        <v>4.43</v>
      </c>
      <c r="K280" s="14">
        <f t="shared" si="14"/>
        <v>540.34107143000017</v>
      </c>
    </row>
    <row r="281" spans="1:11" x14ac:dyDescent="0.15">
      <c r="A281" s="51"/>
      <c r="B281" s="8">
        <v>280</v>
      </c>
      <c r="C281" s="9">
        <v>19.099999999999987</v>
      </c>
      <c r="D281" s="10">
        <v>5.3240740740740433</v>
      </c>
      <c r="E281" s="10">
        <v>2.7777777777778012</v>
      </c>
      <c r="F281" s="10">
        <f t="shared" si="12"/>
        <v>6.3131313131313664</v>
      </c>
      <c r="G281" s="10">
        <v>0.38795212677887875</v>
      </c>
      <c r="H281" s="11">
        <v>42.931258106355372</v>
      </c>
      <c r="I281" s="12">
        <v>0.88</v>
      </c>
      <c r="J281" s="13">
        <f t="shared" si="13"/>
        <v>4.4000000000000004</v>
      </c>
      <c r="K281" s="14">
        <f t="shared" si="14"/>
        <v>544.74107143000015</v>
      </c>
    </row>
    <row r="282" spans="1:11" x14ac:dyDescent="0.15">
      <c r="A282" s="51"/>
      <c r="B282" s="8">
        <v>281</v>
      </c>
      <c r="C282" s="9">
        <v>19.149999999999984</v>
      </c>
      <c r="D282" s="10">
        <v>5.2280311457174511</v>
      </c>
      <c r="E282" s="10">
        <v>2.6696329254727695</v>
      </c>
      <c r="F282" s="10">
        <f t="shared" si="12"/>
        <v>6.0673475578926581</v>
      </c>
      <c r="G282" s="10">
        <v>0.38181163651545746</v>
      </c>
      <c r="H282" s="11">
        <v>41.714285714285715</v>
      </c>
      <c r="I282" s="12">
        <v>0.91800000000000004</v>
      </c>
      <c r="J282" s="13">
        <f t="shared" si="13"/>
        <v>4.59</v>
      </c>
      <c r="K282" s="14">
        <f t="shared" si="14"/>
        <v>549.33107143000018</v>
      </c>
    </row>
    <row r="283" spans="1:11" x14ac:dyDescent="0.15">
      <c r="A283" s="51"/>
      <c r="B283" s="8">
        <v>282</v>
      </c>
      <c r="C283" s="9">
        <v>19.199999999999982</v>
      </c>
      <c r="D283" s="10">
        <v>5.6541019955653891</v>
      </c>
      <c r="E283" s="10">
        <v>2.5498891352549937</v>
      </c>
      <c r="F283" s="10">
        <f t="shared" si="12"/>
        <v>5.795202580124986</v>
      </c>
      <c r="G283" s="10">
        <v>1.3957879012311649</v>
      </c>
      <c r="H283" s="11">
        <v>43.034055727554176</v>
      </c>
      <c r="I283" s="12">
        <v>0.92</v>
      </c>
      <c r="J283" s="13">
        <f t="shared" si="13"/>
        <v>4.6000000000000005</v>
      </c>
      <c r="K283" s="14">
        <f t="shared" si="14"/>
        <v>553.9310714300002</v>
      </c>
    </row>
    <row r="284" spans="1:11" x14ac:dyDescent="0.15">
      <c r="A284" s="51"/>
      <c r="B284" s="8">
        <v>283</v>
      </c>
      <c r="C284" s="9">
        <v>19.249999999999979</v>
      </c>
      <c r="D284" s="10">
        <v>5.6242969628796411</v>
      </c>
      <c r="E284" s="10">
        <v>2.6996625421822102</v>
      </c>
      <c r="F284" s="10">
        <f t="shared" si="12"/>
        <v>6.1355966867777507</v>
      </c>
      <c r="G284" s="10">
        <v>0.66984195862104723</v>
      </c>
      <c r="H284" s="11">
        <v>43.356207111665633</v>
      </c>
      <c r="I284" s="12">
        <v>0.90800000000000003</v>
      </c>
      <c r="J284" s="13">
        <f t="shared" si="13"/>
        <v>4.54</v>
      </c>
      <c r="K284" s="14">
        <f t="shared" si="14"/>
        <v>558.47107143000017</v>
      </c>
    </row>
    <row r="285" spans="1:11" x14ac:dyDescent="0.15">
      <c r="A285" s="51"/>
      <c r="B285" s="8">
        <v>284</v>
      </c>
      <c r="C285" s="9">
        <v>19.299999999999976</v>
      </c>
      <c r="D285" s="10">
        <v>5.0709939148073024</v>
      </c>
      <c r="E285" s="10">
        <v>3.144016227180515</v>
      </c>
      <c r="F285" s="10">
        <f t="shared" si="12"/>
        <v>7.1454914254102615</v>
      </c>
      <c r="G285" s="10">
        <v>0.40815530092839047</v>
      </c>
      <c r="H285" s="11">
        <v>39.053972104305657</v>
      </c>
      <c r="I285" s="12">
        <v>1.0049999999999999</v>
      </c>
      <c r="J285" s="13">
        <f t="shared" si="13"/>
        <v>5.0249999999999995</v>
      </c>
      <c r="K285" s="14">
        <f t="shared" si="14"/>
        <v>563.49607143000014</v>
      </c>
    </row>
    <row r="286" spans="1:11" x14ac:dyDescent="0.15">
      <c r="A286" s="51"/>
      <c r="B286" s="8">
        <v>285</v>
      </c>
      <c r="C286" s="9">
        <v>19.349999999999973</v>
      </c>
      <c r="D286" s="10">
        <v>5.5913978494623606</v>
      </c>
      <c r="E286" s="10">
        <v>2.7956989247311994</v>
      </c>
      <c r="F286" s="10">
        <f t="shared" si="12"/>
        <v>6.3538611925709079</v>
      </c>
      <c r="G286" s="10">
        <v>0.33446855951448529</v>
      </c>
      <c r="H286" s="11">
        <v>40.846824408468244</v>
      </c>
      <c r="I286" s="12">
        <v>0.95</v>
      </c>
      <c r="J286" s="13">
        <f t="shared" si="13"/>
        <v>4.75</v>
      </c>
      <c r="K286" s="14">
        <f t="shared" si="14"/>
        <v>568.24607143000014</v>
      </c>
    </row>
    <row r="287" spans="1:11" x14ac:dyDescent="0.15">
      <c r="A287" s="51"/>
      <c r="B287" s="8">
        <v>286</v>
      </c>
      <c r="C287" s="9">
        <v>19.55</v>
      </c>
      <c r="D287" s="10">
        <v>5.8295964125560493</v>
      </c>
      <c r="E287" s="10">
        <v>2.690582959641278</v>
      </c>
      <c r="F287" s="10">
        <f t="shared" si="12"/>
        <v>6.1149612719119952</v>
      </c>
      <c r="G287" s="10">
        <v>0.33037057697356348</v>
      </c>
      <c r="H287" s="11">
        <v>40.982546864899795</v>
      </c>
      <c r="I287" s="12">
        <v>0.91300000000000003</v>
      </c>
      <c r="J287" s="13">
        <f t="shared" si="13"/>
        <v>4.5650000000000004</v>
      </c>
      <c r="K287" s="14">
        <f t="shared" si="14"/>
        <v>572.8110714300002</v>
      </c>
    </row>
    <row r="288" spans="1:11" x14ac:dyDescent="0.15">
      <c r="A288" s="51"/>
      <c r="B288" s="8">
        <v>287</v>
      </c>
      <c r="C288" s="9">
        <v>19.600000000000001</v>
      </c>
      <c r="D288" s="10">
        <v>6.0742407199100406</v>
      </c>
      <c r="E288" s="10">
        <v>2.6996625421822089</v>
      </c>
      <c r="F288" s="10">
        <f t="shared" si="12"/>
        <v>6.1355966867777472</v>
      </c>
      <c r="G288" s="10">
        <v>0.39406126670802821</v>
      </c>
      <c r="H288" s="11">
        <v>43.1875</v>
      </c>
      <c r="I288" s="12">
        <v>0.90900000000000003</v>
      </c>
      <c r="J288" s="13">
        <f t="shared" si="13"/>
        <v>4.5449999999999999</v>
      </c>
      <c r="K288" s="14">
        <f t="shared" si="14"/>
        <v>577.35607143000016</v>
      </c>
    </row>
    <row r="289" spans="1:11" x14ac:dyDescent="0.15">
      <c r="A289" s="51"/>
      <c r="B289" s="8">
        <v>288</v>
      </c>
      <c r="C289" s="9">
        <v>19.649999999999999</v>
      </c>
      <c r="D289" s="10">
        <v>5.8020477815699438</v>
      </c>
      <c r="E289" s="10">
        <v>2.8441410693970424</v>
      </c>
      <c r="F289" s="10">
        <f t="shared" si="12"/>
        <v>6.4639569759023692</v>
      </c>
      <c r="G289" s="10">
        <v>0.38635736511036478</v>
      </c>
      <c r="H289" s="11">
        <v>43.379571248423701</v>
      </c>
      <c r="I289" s="12">
        <v>0.89800000000000002</v>
      </c>
      <c r="J289" s="13">
        <f t="shared" si="13"/>
        <v>4.49</v>
      </c>
      <c r="K289" s="14">
        <f t="shared" si="14"/>
        <v>581.84607143000017</v>
      </c>
    </row>
    <row r="290" spans="1:11" x14ac:dyDescent="0.15">
      <c r="A290" s="51"/>
      <c r="B290" s="8">
        <v>289</v>
      </c>
      <c r="C290" s="9">
        <v>19.699999999999996</v>
      </c>
      <c r="D290" s="10">
        <v>5.2192066805845503</v>
      </c>
      <c r="E290" s="10">
        <v>3.1315240083507376</v>
      </c>
      <c r="F290" s="10">
        <f t="shared" si="12"/>
        <v>7.1171000189789488</v>
      </c>
      <c r="G290" s="10">
        <v>0.48995699695057954</v>
      </c>
      <c r="H290" s="11">
        <v>40.257352941176471</v>
      </c>
      <c r="I290" s="12">
        <v>0.97499999999999998</v>
      </c>
      <c r="J290" s="13">
        <f t="shared" si="13"/>
        <v>4.875</v>
      </c>
      <c r="K290" s="14">
        <f t="shared" si="14"/>
        <v>586.72107143000017</v>
      </c>
    </row>
    <row r="291" spans="1:11" x14ac:dyDescent="0.15">
      <c r="A291" s="51"/>
      <c r="B291" s="8">
        <v>290</v>
      </c>
      <c r="C291" s="9">
        <v>19.749999999999993</v>
      </c>
      <c r="D291" s="10">
        <v>5.775764439411077</v>
      </c>
      <c r="E291" s="10">
        <v>3.2842582106455174</v>
      </c>
      <c r="F291" s="10">
        <f t="shared" si="12"/>
        <v>7.4642232060125391</v>
      </c>
      <c r="G291" s="10">
        <v>0.56162221203695029</v>
      </c>
      <c r="H291" s="11">
        <v>43.251726302573765</v>
      </c>
      <c r="I291" s="12">
        <v>0.90400000000000003</v>
      </c>
      <c r="J291" s="13">
        <f t="shared" si="13"/>
        <v>4.5200000000000005</v>
      </c>
      <c r="K291" s="14">
        <f t="shared" si="14"/>
        <v>591.24107143000015</v>
      </c>
    </row>
    <row r="292" spans="1:11" x14ac:dyDescent="0.15">
      <c r="A292" s="51"/>
      <c r="B292" s="8">
        <v>291</v>
      </c>
      <c r="C292" s="9">
        <v>19.79999999999999</v>
      </c>
      <c r="D292" s="10">
        <v>6.956521739130463</v>
      </c>
      <c r="E292" s="10">
        <v>3.2298136645962483</v>
      </c>
      <c r="F292" s="10">
        <f t="shared" si="12"/>
        <v>7.3404856013551099</v>
      </c>
      <c r="G292" s="10">
        <v>0.37482436837684002</v>
      </c>
      <c r="H292" s="11">
        <v>46.098829648894665</v>
      </c>
      <c r="I292" s="12">
        <v>0.82899999999999996</v>
      </c>
      <c r="J292" s="13">
        <f t="shared" si="13"/>
        <v>4.1449999999999996</v>
      </c>
      <c r="K292" s="14">
        <f t="shared" si="14"/>
        <v>595.38607143000013</v>
      </c>
    </row>
    <row r="293" spans="1:11" x14ac:dyDescent="0.15">
      <c r="A293" s="51"/>
      <c r="B293" s="8">
        <v>292</v>
      </c>
      <c r="C293" s="9">
        <v>19.849999999999987</v>
      </c>
      <c r="D293" s="10">
        <v>6.364749082007382</v>
      </c>
      <c r="E293" s="10">
        <v>3.5495716034271618</v>
      </c>
      <c r="F293" s="10">
        <f t="shared" si="12"/>
        <v>8.0672081896071859</v>
      </c>
      <c r="G293" s="10">
        <v>0.34253790064490325</v>
      </c>
      <c r="H293" s="11">
        <v>44.385382059800669</v>
      </c>
      <c r="I293" s="12">
        <v>0.83699999999999997</v>
      </c>
      <c r="J293" s="13">
        <f t="shared" si="13"/>
        <v>4.1849999999999996</v>
      </c>
      <c r="K293" s="14">
        <f t="shared" si="14"/>
        <v>599.57107143000007</v>
      </c>
    </row>
    <row r="294" spans="1:11" x14ac:dyDescent="0.15">
      <c r="A294" s="52"/>
      <c r="B294" s="15">
        <v>293</v>
      </c>
      <c r="C294" s="16">
        <v>19.899999999999984</v>
      </c>
      <c r="D294" s="17">
        <v>7.5197889182058066</v>
      </c>
      <c r="E294" s="17">
        <v>3.8258575197889062</v>
      </c>
      <c r="F294" s="17">
        <f t="shared" si="12"/>
        <v>8.6951307267929678</v>
      </c>
      <c r="G294" s="17">
        <v>0.38095984818753875</v>
      </c>
      <c r="H294" s="18">
        <v>47.81732706514439</v>
      </c>
      <c r="I294" s="19">
        <v>0.77700000000000002</v>
      </c>
      <c r="J294" s="20">
        <f t="shared" si="13"/>
        <v>3.8850000000000002</v>
      </c>
      <c r="K294" s="21">
        <f t="shared" si="14"/>
        <v>603.45607143000007</v>
      </c>
    </row>
    <row r="295" spans="1:11" x14ac:dyDescent="0.15">
      <c r="A295" s="50"/>
      <c r="B295" s="2">
        <v>294</v>
      </c>
      <c r="C295" s="29">
        <v>19.949999999999982</v>
      </c>
      <c r="D295" s="4">
        <v>15.201465201465233</v>
      </c>
      <c r="E295" s="4">
        <v>3.2967032967032912</v>
      </c>
      <c r="F295" s="4">
        <f t="shared" si="12"/>
        <v>7.4925074925074799</v>
      </c>
      <c r="G295" s="4">
        <v>0.57172123605010972</v>
      </c>
      <c r="H295" s="22">
        <v>58.050221565731171</v>
      </c>
      <c r="I295" s="23">
        <v>0.56799999999999995</v>
      </c>
      <c r="J295" s="24">
        <f t="shared" si="13"/>
        <v>2.84</v>
      </c>
      <c r="K295" s="25">
        <f t="shared" si="14"/>
        <v>606.2960714300001</v>
      </c>
    </row>
    <row r="296" spans="1:11" x14ac:dyDescent="0.15">
      <c r="A296" s="51"/>
      <c r="B296" s="8">
        <v>295</v>
      </c>
      <c r="C296" s="9">
        <v>19.999999999999979</v>
      </c>
      <c r="D296" s="10">
        <v>11.423550087873439</v>
      </c>
      <c r="E296" s="10">
        <v>3.6906854130052875</v>
      </c>
      <c r="F296" s="10">
        <f t="shared" si="12"/>
        <v>8.3879213931938352</v>
      </c>
      <c r="G296" s="10">
        <v>3.2121204188790022</v>
      </c>
      <c r="H296" s="11">
        <v>56.184798807749623</v>
      </c>
      <c r="I296" s="12">
        <v>0.58799999999999997</v>
      </c>
      <c r="J296" s="13">
        <f t="shared" si="13"/>
        <v>2.94</v>
      </c>
      <c r="K296" s="14">
        <f t="shared" si="14"/>
        <v>609.23607143000015</v>
      </c>
    </row>
    <row r="297" spans="1:11" x14ac:dyDescent="0.15">
      <c r="A297" s="51"/>
      <c r="B297" s="8">
        <v>296</v>
      </c>
      <c r="C297" s="9">
        <v>20.049999999999976</v>
      </c>
      <c r="D297" s="10">
        <v>12.410071942446065</v>
      </c>
      <c r="E297" s="10">
        <v>2.8776978417266208</v>
      </c>
      <c r="F297" s="10">
        <f t="shared" si="12"/>
        <v>6.540222367560502</v>
      </c>
      <c r="G297" s="10">
        <v>1.1178554874971576</v>
      </c>
      <c r="H297" s="11">
        <v>56.770833333333329</v>
      </c>
      <c r="I297" s="12">
        <v>0.58099999999999996</v>
      </c>
      <c r="J297" s="13">
        <f t="shared" si="13"/>
        <v>2.9049999999999998</v>
      </c>
      <c r="K297" s="14">
        <f t="shared" si="14"/>
        <v>612.14107143000012</v>
      </c>
    </row>
    <row r="298" spans="1:11" x14ac:dyDescent="0.15">
      <c r="A298" s="51"/>
      <c r="B298" s="8">
        <v>297</v>
      </c>
      <c r="C298" s="9">
        <v>20.099999999999973</v>
      </c>
      <c r="D298" s="10">
        <v>5.5242390078917918</v>
      </c>
      <c r="E298" s="10">
        <v>2.9312288613303044</v>
      </c>
      <c r="F298" s="10">
        <f t="shared" si="12"/>
        <v>6.6618837757506917</v>
      </c>
      <c r="G298" s="10">
        <v>1.8369117152952101</v>
      </c>
      <c r="H298" s="11">
        <v>42.148760330578504</v>
      </c>
      <c r="I298" s="12">
        <v>0.91</v>
      </c>
      <c r="J298" s="13">
        <f t="shared" si="13"/>
        <v>4.55</v>
      </c>
      <c r="K298" s="14">
        <f t="shared" si="14"/>
        <v>616.69107143000008</v>
      </c>
    </row>
    <row r="299" spans="1:11" x14ac:dyDescent="0.15">
      <c r="A299" s="51"/>
      <c r="B299" s="8">
        <v>298</v>
      </c>
      <c r="C299" s="9">
        <v>20.14999999999997</v>
      </c>
      <c r="D299" s="10">
        <v>8.670520231213894</v>
      </c>
      <c r="E299" s="10">
        <v>2.8901734104046142</v>
      </c>
      <c r="F299" s="10">
        <f t="shared" si="12"/>
        <v>6.5685759327377591</v>
      </c>
      <c r="G299" s="10">
        <v>0.39405668211890571</v>
      </c>
      <c r="H299" s="11">
        <v>50.41608876560332</v>
      </c>
      <c r="I299" s="12">
        <v>0.71499999999999997</v>
      </c>
      <c r="J299" s="13">
        <f t="shared" si="13"/>
        <v>3.5749999999999997</v>
      </c>
      <c r="K299" s="14">
        <f t="shared" si="14"/>
        <v>620.26607143000012</v>
      </c>
    </row>
    <row r="300" spans="1:11" x14ac:dyDescent="0.15">
      <c r="A300" s="51"/>
      <c r="B300" s="8">
        <v>299</v>
      </c>
      <c r="C300" s="9">
        <v>20.199999999999967</v>
      </c>
      <c r="D300" s="10">
        <v>11.61178509532065</v>
      </c>
      <c r="E300" s="10">
        <v>2.9462738301559463</v>
      </c>
      <c r="F300" s="10">
        <f t="shared" si="12"/>
        <v>6.6960768867180596</v>
      </c>
      <c r="G300" s="10">
        <v>0.88315435451217472</v>
      </c>
      <c r="H300" s="11">
        <v>55.620867009551802</v>
      </c>
      <c r="I300" s="12">
        <v>0.60399999999999998</v>
      </c>
      <c r="J300" s="13">
        <f t="shared" si="13"/>
        <v>3.02</v>
      </c>
      <c r="K300" s="14">
        <f t="shared" si="14"/>
        <v>623.28607143000011</v>
      </c>
    </row>
    <row r="301" spans="1:11" x14ac:dyDescent="0.15">
      <c r="A301" s="51"/>
      <c r="B301" s="8">
        <v>300</v>
      </c>
      <c r="C301" s="9">
        <v>20.249999999999964</v>
      </c>
      <c r="D301" s="10">
        <v>13.211009174311911</v>
      </c>
      <c r="E301" s="10">
        <v>2.3853211009174138</v>
      </c>
      <c r="F301" s="10">
        <f t="shared" si="12"/>
        <v>5.4211843202668497</v>
      </c>
      <c r="G301" s="10">
        <v>0.48929886881205131</v>
      </c>
      <c r="H301" s="11">
        <v>57.38805970149253</v>
      </c>
      <c r="I301" s="12">
        <v>0.57099999999999995</v>
      </c>
      <c r="J301" s="13">
        <f t="shared" si="13"/>
        <v>2.8549999999999995</v>
      </c>
      <c r="K301" s="14">
        <f t="shared" si="14"/>
        <v>626.14107143000012</v>
      </c>
    </row>
    <row r="302" spans="1:11" x14ac:dyDescent="0.15">
      <c r="A302" s="51"/>
      <c r="B302" s="8">
        <v>301</v>
      </c>
      <c r="C302" s="9">
        <v>20.299999999999962</v>
      </c>
      <c r="D302" s="10">
        <v>10.316139767054926</v>
      </c>
      <c r="E302" s="10">
        <v>5.1580698835274328</v>
      </c>
      <c r="F302" s="10">
        <f t="shared" si="12"/>
        <v>11.722886098925983</v>
      </c>
      <c r="G302" s="10">
        <v>12.609072903723799</v>
      </c>
      <c r="H302" s="11">
        <v>54.545454545454554</v>
      </c>
      <c r="I302" s="12">
        <v>0.625</v>
      </c>
      <c r="J302" s="13">
        <f t="shared" si="13"/>
        <v>3.125</v>
      </c>
      <c r="K302" s="14">
        <f t="shared" si="14"/>
        <v>629.26607143000012</v>
      </c>
    </row>
    <row r="303" spans="1:11" x14ac:dyDescent="0.15">
      <c r="A303" s="52"/>
      <c r="B303" s="15">
        <v>302</v>
      </c>
      <c r="C303" s="36">
        <v>20.349999999999959</v>
      </c>
      <c r="D303" s="17">
        <v>13.45514950166111</v>
      </c>
      <c r="E303" s="17">
        <v>2.657807308970102</v>
      </c>
      <c r="F303" s="17">
        <f t="shared" si="12"/>
        <v>6.0404711567502316</v>
      </c>
      <c r="G303" s="17">
        <v>0.68411078070600406</v>
      </c>
      <c r="H303" s="18">
        <v>55.907172995780584</v>
      </c>
      <c r="I303" s="19">
        <v>0.627</v>
      </c>
      <c r="J303" s="20">
        <f t="shared" si="13"/>
        <v>3.1349999999999998</v>
      </c>
      <c r="K303" s="21">
        <f t="shared" si="14"/>
        <v>632.40107143000012</v>
      </c>
    </row>
    <row r="304" spans="1:11" x14ac:dyDescent="0.15">
      <c r="I304" s="39"/>
    </row>
  </sheetData>
  <mergeCells count="8">
    <mergeCell ref="A274:A294"/>
    <mergeCell ref="A295:A303"/>
    <mergeCell ref="A2:A12"/>
    <mergeCell ref="A13:A58"/>
    <mergeCell ref="A59:A138"/>
    <mergeCell ref="A139:A180"/>
    <mergeCell ref="A181:A265"/>
    <mergeCell ref="A266:A27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AC8F2-E8D4-DC44-9335-2D40833220E9}">
  <dimension ref="A1:M214"/>
  <sheetViews>
    <sheetView workbookViewId="0">
      <selection activeCell="G8" sqref="G8"/>
    </sheetView>
  </sheetViews>
  <sheetFormatPr baseColWidth="10" defaultRowHeight="16" x14ac:dyDescent="0.2"/>
  <cols>
    <col min="1" max="13" width="10.83203125" style="1"/>
  </cols>
  <sheetData>
    <row r="1" spans="1:13" ht="30" x14ac:dyDescent="0.2">
      <c r="A1" s="1" t="s">
        <v>22</v>
      </c>
      <c r="B1" s="44" t="s">
        <v>8</v>
      </c>
      <c r="C1" s="44" t="s">
        <v>9</v>
      </c>
      <c r="D1" s="44" t="s">
        <v>10</v>
      </c>
      <c r="E1" s="44" t="s">
        <v>11</v>
      </c>
      <c r="F1" s="44" t="s">
        <v>12</v>
      </c>
      <c r="G1" s="44" t="s">
        <v>13</v>
      </c>
      <c r="H1" s="44" t="s">
        <v>14</v>
      </c>
      <c r="I1" s="44" t="s">
        <v>15</v>
      </c>
      <c r="J1" s="44" t="s">
        <v>16</v>
      </c>
      <c r="K1" s="44" t="s">
        <v>17</v>
      </c>
      <c r="L1" s="44" t="s">
        <v>18</v>
      </c>
      <c r="M1" s="44" t="s">
        <v>19</v>
      </c>
    </row>
    <row r="2" spans="1:13" x14ac:dyDescent="0.2">
      <c r="A2" s="1">
        <v>3.2</v>
      </c>
      <c r="B2" s="1">
        <v>9.42</v>
      </c>
      <c r="C2" s="1">
        <v>11.040000000000001</v>
      </c>
      <c r="D2" s="1">
        <v>18.62</v>
      </c>
      <c r="E2" s="1">
        <v>25.53</v>
      </c>
      <c r="F2" s="1">
        <v>23.12</v>
      </c>
      <c r="G2" s="1">
        <v>10.709999999999999</v>
      </c>
      <c r="H2" s="1">
        <v>1.57</v>
      </c>
      <c r="I2" s="1">
        <v>0</v>
      </c>
      <c r="J2" s="1">
        <v>0</v>
      </c>
      <c r="K2" s="1">
        <v>0</v>
      </c>
      <c r="L2" s="1">
        <v>0</v>
      </c>
      <c r="M2" s="1">
        <v>0</v>
      </c>
    </row>
    <row r="3" spans="1:13" x14ac:dyDescent="0.2">
      <c r="A3" s="1">
        <v>3.15</v>
      </c>
      <c r="B3" s="1">
        <v>8.59</v>
      </c>
      <c r="C3" s="1">
        <v>10.780000000000001</v>
      </c>
      <c r="D3" s="1">
        <v>18.68</v>
      </c>
      <c r="E3" s="1">
        <v>25.58</v>
      </c>
      <c r="F3" s="1">
        <v>23.1</v>
      </c>
      <c r="G3" s="1">
        <v>10.33</v>
      </c>
      <c r="H3" s="1">
        <v>1.87</v>
      </c>
      <c r="I3" s="1">
        <v>0.55999999999999994</v>
      </c>
      <c r="J3" s="1">
        <v>0.51</v>
      </c>
      <c r="K3" s="1">
        <v>0.04</v>
      </c>
      <c r="L3" s="1">
        <v>0</v>
      </c>
      <c r="M3" s="1">
        <v>0</v>
      </c>
    </row>
    <row r="4" spans="1:13" x14ac:dyDescent="0.2">
      <c r="A4" s="1">
        <v>3.25</v>
      </c>
      <c r="B4" s="1">
        <v>9.52</v>
      </c>
      <c r="C4" s="1">
        <v>11.120000000000001</v>
      </c>
      <c r="D4" s="1">
        <v>18.34</v>
      </c>
      <c r="E4" s="1">
        <v>24.8</v>
      </c>
      <c r="F4" s="1">
        <v>23.04</v>
      </c>
      <c r="G4" s="1">
        <v>11.03</v>
      </c>
      <c r="H4" s="1">
        <v>1.95</v>
      </c>
      <c r="I4" s="1">
        <v>0.14000000000000001</v>
      </c>
      <c r="J4" s="1">
        <v>6.9999999999999993E-2</v>
      </c>
      <c r="K4" s="1">
        <v>0</v>
      </c>
      <c r="L4" s="1">
        <v>0</v>
      </c>
      <c r="M4" s="1">
        <v>0</v>
      </c>
    </row>
    <row r="5" spans="1:13" x14ac:dyDescent="0.2">
      <c r="A5" s="1">
        <v>3.3</v>
      </c>
      <c r="B5" s="1">
        <v>9.3999999999999986</v>
      </c>
      <c r="C5" s="1">
        <v>10.93</v>
      </c>
      <c r="D5" s="1">
        <v>18.45</v>
      </c>
      <c r="E5" s="1">
        <v>25.25</v>
      </c>
      <c r="F5" s="1">
        <v>23.34</v>
      </c>
      <c r="G5" s="1">
        <v>10.91</v>
      </c>
      <c r="H5" s="1">
        <v>1.73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2">
      <c r="A6" s="1">
        <v>3.35</v>
      </c>
      <c r="B6" s="1">
        <v>8.92</v>
      </c>
      <c r="C6" s="1">
        <v>10.700000000000001</v>
      </c>
      <c r="D6" s="1">
        <v>18.100000000000001</v>
      </c>
      <c r="E6" s="1">
        <v>24.89</v>
      </c>
      <c r="F6" s="1">
        <v>23.29</v>
      </c>
      <c r="G6" s="1">
        <v>10.920000000000002</v>
      </c>
      <c r="H6" s="1">
        <v>2.1100000000000003</v>
      </c>
      <c r="I6" s="1">
        <v>0.6</v>
      </c>
      <c r="J6" s="1">
        <v>0.43000000000000005</v>
      </c>
      <c r="K6" s="1">
        <v>0.02</v>
      </c>
      <c r="L6" s="1">
        <v>0</v>
      </c>
      <c r="M6" s="1">
        <v>0</v>
      </c>
    </row>
    <row r="7" spans="1:13" x14ac:dyDescent="0.2">
      <c r="A7" s="1">
        <v>3.4</v>
      </c>
      <c r="B7" s="1">
        <v>9.3699999999999992</v>
      </c>
      <c r="C7" s="1">
        <v>11.12</v>
      </c>
      <c r="D7" s="1">
        <v>18.75</v>
      </c>
      <c r="E7" s="1">
        <v>25.36</v>
      </c>
      <c r="F7" s="1">
        <v>22.61</v>
      </c>
      <c r="G7" s="1">
        <v>9.82</v>
      </c>
      <c r="H7" s="1">
        <v>1.73</v>
      </c>
      <c r="I7" s="1">
        <v>0.49999999999999994</v>
      </c>
      <c r="J7" s="1">
        <v>0.52</v>
      </c>
      <c r="K7" s="1">
        <v>0.22</v>
      </c>
      <c r="L7" s="1">
        <v>0</v>
      </c>
      <c r="M7" s="1">
        <v>0</v>
      </c>
    </row>
    <row r="8" spans="1:13" x14ac:dyDescent="0.2">
      <c r="A8" s="1">
        <v>3.45</v>
      </c>
      <c r="B8" s="1">
        <v>9.51</v>
      </c>
      <c r="C8" s="1">
        <v>11.31</v>
      </c>
      <c r="D8" s="1">
        <v>19.09</v>
      </c>
      <c r="E8" s="1">
        <v>26.09</v>
      </c>
      <c r="F8" s="1">
        <v>22.35</v>
      </c>
      <c r="G8" s="1">
        <v>8.4699999999999989</v>
      </c>
      <c r="H8" s="1">
        <v>1.41</v>
      </c>
      <c r="I8" s="1">
        <v>0.72</v>
      </c>
      <c r="J8" s="1">
        <v>0.72000000000000008</v>
      </c>
      <c r="K8" s="1">
        <v>0.35000000000000003</v>
      </c>
      <c r="L8" s="1">
        <v>0</v>
      </c>
      <c r="M8" s="1">
        <v>0</v>
      </c>
    </row>
    <row r="9" spans="1:13" x14ac:dyDescent="0.2">
      <c r="A9" s="1">
        <v>3.5</v>
      </c>
      <c r="B9" s="1">
        <v>9.8299999999999983</v>
      </c>
      <c r="C9" s="1">
        <v>11.32</v>
      </c>
      <c r="D9" s="1">
        <v>19.259999999999998</v>
      </c>
      <c r="E9" s="1">
        <v>26.87</v>
      </c>
      <c r="F9" s="1">
        <v>23.259999999999998</v>
      </c>
      <c r="G9" s="1">
        <v>8.4399999999999977</v>
      </c>
      <c r="H9" s="1">
        <v>0.83000000000000007</v>
      </c>
      <c r="I9" s="1">
        <v>0.05</v>
      </c>
      <c r="J9" s="1">
        <v>0.08</v>
      </c>
      <c r="K9" s="1">
        <v>6.0000000000000005E-2</v>
      </c>
      <c r="L9" s="1">
        <v>0</v>
      </c>
      <c r="M9" s="1">
        <v>0</v>
      </c>
    </row>
    <row r="10" spans="1:13" x14ac:dyDescent="0.2">
      <c r="A10" s="1">
        <v>3.55</v>
      </c>
      <c r="B10" s="1">
        <v>9.3699999999999992</v>
      </c>
      <c r="C10" s="1">
        <v>11.129999999999999</v>
      </c>
      <c r="D10" s="1">
        <v>19.079999999999998</v>
      </c>
      <c r="E10" s="1">
        <v>26.480000000000004</v>
      </c>
      <c r="F10" s="1">
        <v>22.4</v>
      </c>
      <c r="G10" s="1">
        <v>8.31</v>
      </c>
      <c r="H10" s="1">
        <v>1.42</v>
      </c>
      <c r="I10" s="1">
        <v>0.64</v>
      </c>
      <c r="J10" s="1">
        <v>0.81</v>
      </c>
      <c r="K10" s="1">
        <v>0.37</v>
      </c>
      <c r="L10" s="1">
        <v>0</v>
      </c>
      <c r="M10" s="1">
        <v>0</v>
      </c>
    </row>
    <row r="11" spans="1:13" x14ac:dyDescent="0.2">
      <c r="A11" s="1">
        <v>3.6</v>
      </c>
      <c r="B11" s="1">
        <v>9.3699999999999992</v>
      </c>
      <c r="C11" s="1">
        <v>11.17</v>
      </c>
      <c r="D11" s="1">
        <v>19.05</v>
      </c>
      <c r="E11" s="1">
        <v>26.259999999999998</v>
      </c>
      <c r="F11" s="1">
        <v>22.39</v>
      </c>
      <c r="G11" s="1">
        <v>8.41</v>
      </c>
      <c r="H11" s="1">
        <v>1.39</v>
      </c>
      <c r="I11" s="1">
        <v>0.67</v>
      </c>
      <c r="J11" s="1">
        <v>0.87</v>
      </c>
      <c r="K11" s="1">
        <v>0.43999999999999995</v>
      </c>
      <c r="L11" s="1">
        <v>0</v>
      </c>
      <c r="M11" s="1">
        <v>0</v>
      </c>
    </row>
    <row r="12" spans="1:13" x14ac:dyDescent="0.2">
      <c r="A12" s="1">
        <v>3.65</v>
      </c>
      <c r="B12" s="1">
        <v>9.1</v>
      </c>
      <c r="C12" s="1">
        <v>11</v>
      </c>
      <c r="D12" s="1">
        <v>19.25</v>
      </c>
      <c r="E12" s="1">
        <v>26.56</v>
      </c>
      <c r="F12" s="1">
        <v>22.12</v>
      </c>
      <c r="G12" s="1">
        <v>8.17</v>
      </c>
      <c r="H12" s="1">
        <v>1.42</v>
      </c>
      <c r="I12" s="1">
        <v>0.75</v>
      </c>
      <c r="J12" s="1">
        <v>1.1099999999999999</v>
      </c>
      <c r="K12" s="1">
        <v>0.52</v>
      </c>
      <c r="L12" s="1">
        <v>0</v>
      </c>
      <c r="M12" s="1">
        <v>0</v>
      </c>
    </row>
    <row r="13" spans="1:13" x14ac:dyDescent="0.2">
      <c r="A13" s="1">
        <v>3.7</v>
      </c>
      <c r="B13" s="1">
        <v>9.15</v>
      </c>
      <c r="C13" s="1">
        <v>10.199999999999999</v>
      </c>
      <c r="D13" s="1">
        <v>17.79</v>
      </c>
      <c r="E13" s="1">
        <v>26.009999999999998</v>
      </c>
      <c r="F13" s="1">
        <v>23.71</v>
      </c>
      <c r="G13" s="1">
        <v>9.9499999999999993</v>
      </c>
      <c r="H13" s="1">
        <v>1.8099999999999998</v>
      </c>
      <c r="I13" s="1">
        <v>0.59</v>
      </c>
      <c r="J13" s="1">
        <v>0.62</v>
      </c>
      <c r="K13" s="1">
        <v>0.14000000000000001</v>
      </c>
      <c r="L13" s="1">
        <v>0</v>
      </c>
      <c r="M13" s="1">
        <v>0</v>
      </c>
    </row>
    <row r="14" spans="1:13" x14ac:dyDescent="0.2">
      <c r="A14" s="1">
        <v>3.75</v>
      </c>
      <c r="B14" s="1">
        <v>7.8599999999999994</v>
      </c>
      <c r="C14" s="1">
        <v>9.0500000000000007</v>
      </c>
      <c r="D14" s="1">
        <v>16.29</v>
      </c>
      <c r="E14" s="1">
        <v>24.9</v>
      </c>
      <c r="F14" s="1">
        <v>25.54</v>
      </c>
      <c r="G14" s="1">
        <v>13.370000000000001</v>
      </c>
      <c r="H14" s="1">
        <v>2.74</v>
      </c>
      <c r="I14" s="1">
        <v>0.21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2">
      <c r="A15" s="1">
        <v>3.8</v>
      </c>
      <c r="B15" s="1">
        <v>7.7200000000000006</v>
      </c>
      <c r="C15" s="1">
        <v>8.48</v>
      </c>
      <c r="D15" s="1">
        <v>14.92</v>
      </c>
      <c r="E15" s="1">
        <v>23.47</v>
      </c>
      <c r="F15" s="1">
        <v>26.21</v>
      </c>
      <c r="G15" s="1">
        <v>15.370000000000001</v>
      </c>
      <c r="H15" s="1">
        <v>3.43</v>
      </c>
      <c r="I15" s="1">
        <v>0.35000000000000003</v>
      </c>
      <c r="J15" s="1">
        <v>0.01</v>
      </c>
      <c r="K15" s="1">
        <v>0</v>
      </c>
      <c r="L15" s="1">
        <v>0</v>
      </c>
      <c r="M15" s="1">
        <v>0</v>
      </c>
    </row>
    <row r="16" spans="1:13" x14ac:dyDescent="0.2">
      <c r="A16" s="1">
        <v>3.85</v>
      </c>
      <c r="B16" s="1">
        <v>7.72</v>
      </c>
      <c r="C16" s="1">
        <v>8.6900000000000013</v>
      </c>
      <c r="D16" s="1">
        <v>15.23</v>
      </c>
      <c r="E16" s="1">
        <v>23.42</v>
      </c>
      <c r="F16" s="1">
        <v>25.42</v>
      </c>
      <c r="G16" s="1">
        <v>15.2</v>
      </c>
      <c r="H16" s="1">
        <v>4.09</v>
      </c>
      <c r="I16" s="1">
        <v>0.25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">
      <c r="A17" s="1">
        <v>3.9</v>
      </c>
      <c r="B17" s="1">
        <v>6.4799999999999995</v>
      </c>
      <c r="C17" s="1">
        <v>7.2200000000000006</v>
      </c>
      <c r="D17" s="1">
        <v>13.000000000000002</v>
      </c>
      <c r="E17" s="1">
        <v>21.560000000000002</v>
      </c>
      <c r="F17" s="1">
        <v>26.72</v>
      </c>
      <c r="G17" s="1">
        <v>19.150000000000002</v>
      </c>
      <c r="H17" s="1">
        <v>5.7200000000000006</v>
      </c>
      <c r="I17" s="1">
        <v>0.17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">
      <c r="A18" s="1">
        <v>3.95</v>
      </c>
      <c r="B18" s="1">
        <v>7.98</v>
      </c>
      <c r="C18" s="1">
        <v>7.9799999999999986</v>
      </c>
      <c r="D18" s="1">
        <v>13.22</v>
      </c>
      <c r="E18" s="1">
        <v>21.53</v>
      </c>
      <c r="F18" s="1">
        <v>27.08</v>
      </c>
      <c r="G18" s="1">
        <v>18.2</v>
      </c>
      <c r="H18" s="1">
        <v>3.9899999999999998</v>
      </c>
      <c r="I18" s="1">
        <v>0.01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2">
      <c r="A19" s="1">
        <v>4</v>
      </c>
      <c r="B19" s="1">
        <v>8.3000000000000007</v>
      </c>
      <c r="C19" s="1">
        <v>8.43</v>
      </c>
      <c r="D19" s="1">
        <v>13.629999999999999</v>
      </c>
      <c r="E19" s="1">
        <v>21.39</v>
      </c>
      <c r="F19" s="1">
        <v>25.150000000000002</v>
      </c>
      <c r="G19" s="1">
        <v>16.059999999999999</v>
      </c>
      <c r="H19" s="1">
        <v>4.8000000000000007</v>
      </c>
      <c r="I19" s="1">
        <v>1.8000000000000003</v>
      </c>
      <c r="J19" s="1">
        <v>0.45</v>
      </c>
      <c r="K19" s="1">
        <v>0</v>
      </c>
      <c r="L19" s="1">
        <v>0</v>
      </c>
      <c r="M19" s="1">
        <v>0</v>
      </c>
    </row>
    <row r="20" spans="1:13" x14ac:dyDescent="0.2">
      <c r="A20" s="1">
        <v>4.05</v>
      </c>
      <c r="B20" s="1">
        <v>6.74</v>
      </c>
      <c r="C20" s="1">
        <v>7.4499999999999993</v>
      </c>
      <c r="D20" s="1">
        <v>12.39</v>
      </c>
      <c r="E20" s="1">
        <v>20.51</v>
      </c>
      <c r="F20" s="1">
        <v>25.07</v>
      </c>
      <c r="G20" s="1">
        <v>16.96</v>
      </c>
      <c r="H20" s="1">
        <v>6.79</v>
      </c>
      <c r="I20" s="1">
        <v>3.3899999999999997</v>
      </c>
      <c r="J20" s="1">
        <v>0.72</v>
      </c>
      <c r="K20" s="1">
        <v>0</v>
      </c>
      <c r="L20" s="1">
        <v>0</v>
      </c>
      <c r="M20" s="1">
        <v>0</v>
      </c>
    </row>
    <row r="21" spans="1:13" x14ac:dyDescent="0.2">
      <c r="A21" s="1">
        <v>4.0999999999999996</v>
      </c>
      <c r="B21" s="1">
        <v>7.15</v>
      </c>
      <c r="C21" s="1">
        <v>7.76</v>
      </c>
      <c r="D21" s="1">
        <v>12.979999999999999</v>
      </c>
      <c r="E21" s="1">
        <v>20.79</v>
      </c>
      <c r="F21" s="1">
        <v>24.64</v>
      </c>
      <c r="G21" s="1">
        <v>16.28</v>
      </c>
      <c r="H21" s="1">
        <v>5.98</v>
      </c>
      <c r="I21" s="1">
        <v>2.95</v>
      </c>
      <c r="J21" s="1">
        <v>1.4100000000000001</v>
      </c>
      <c r="K21" s="1">
        <v>0.04</v>
      </c>
      <c r="L21" s="1">
        <v>0</v>
      </c>
      <c r="M21" s="1">
        <v>0</v>
      </c>
    </row>
    <row r="22" spans="1:13" x14ac:dyDescent="0.2">
      <c r="A22" s="1">
        <v>4.1500000000000004</v>
      </c>
      <c r="B22" s="1">
        <v>7.63</v>
      </c>
      <c r="C22" s="1">
        <v>7.94</v>
      </c>
      <c r="D22" s="1">
        <v>12.86</v>
      </c>
      <c r="E22" s="1">
        <v>20.380000000000003</v>
      </c>
      <c r="F22" s="1">
        <v>23.87</v>
      </c>
      <c r="G22" s="1">
        <v>15.25</v>
      </c>
      <c r="H22" s="1">
        <v>5.6000000000000005</v>
      </c>
      <c r="I22" s="1">
        <v>3.44</v>
      </c>
      <c r="J22" s="1">
        <v>2.4899999999999998</v>
      </c>
      <c r="K22" s="1">
        <v>0.54</v>
      </c>
      <c r="L22" s="1">
        <v>0</v>
      </c>
      <c r="M22" s="1">
        <v>0</v>
      </c>
    </row>
    <row r="23" spans="1:13" x14ac:dyDescent="0.2">
      <c r="A23" s="1">
        <v>4.2</v>
      </c>
      <c r="B23" s="1">
        <v>7.3500000000000005</v>
      </c>
      <c r="C23" s="1">
        <v>7.95</v>
      </c>
      <c r="D23" s="1">
        <v>14.17</v>
      </c>
      <c r="E23" s="1">
        <v>23.740000000000002</v>
      </c>
      <c r="F23" s="1">
        <v>26.479999999999997</v>
      </c>
      <c r="G23" s="1">
        <v>16</v>
      </c>
      <c r="H23" s="1">
        <v>4.1000000000000005</v>
      </c>
      <c r="I23" s="1">
        <v>0.2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2">
      <c r="A24" s="1">
        <v>4.25</v>
      </c>
      <c r="B24" s="1">
        <v>8.57</v>
      </c>
      <c r="C24" s="1">
        <v>8.83</v>
      </c>
      <c r="D24" s="1">
        <v>14.22</v>
      </c>
      <c r="E24" s="1">
        <v>22.38</v>
      </c>
      <c r="F24" s="1">
        <v>24.28</v>
      </c>
      <c r="G24" s="1">
        <v>13.16</v>
      </c>
      <c r="H24" s="1">
        <v>4.05</v>
      </c>
      <c r="I24" s="1">
        <v>2.11</v>
      </c>
      <c r="J24" s="1">
        <v>1.8400000000000003</v>
      </c>
      <c r="K24" s="1">
        <v>0.54</v>
      </c>
      <c r="L24" s="1">
        <v>0</v>
      </c>
      <c r="M24" s="1">
        <v>0</v>
      </c>
    </row>
    <row r="25" spans="1:13" x14ac:dyDescent="0.2">
      <c r="A25" s="1">
        <v>4.3</v>
      </c>
      <c r="B25" s="1">
        <v>8.49</v>
      </c>
      <c r="C25" s="1">
        <v>9.07</v>
      </c>
      <c r="D25" s="1">
        <v>15.23</v>
      </c>
      <c r="E25" s="1">
        <v>22.93</v>
      </c>
      <c r="F25" s="1">
        <v>23.669999999999998</v>
      </c>
      <c r="G25" s="1">
        <v>13.42</v>
      </c>
      <c r="H25" s="1">
        <v>4.1900000000000004</v>
      </c>
      <c r="I25" s="1">
        <v>1.6400000000000001</v>
      </c>
      <c r="J25" s="1">
        <v>1.17</v>
      </c>
      <c r="K25" s="1">
        <v>0.18000000000000002</v>
      </c>
      <c r="L25" s="1">
        <v>0</v>
      </c>
      <c r="M25" s="1">
        <v>0</v>
      </c>
    </row>
    <row r="26" spans="1:13" x14ac:dyDescent="0.2">
      <c r="A26" s="1">
        <v>4.3499999999999996</v>
      </c>
      <c r="B26" s="1">
        <v>9.42</v>
      </c>
      <c r="C26" s="1">
        <v>10.01</v>
      </c>
      <c r="D26" s="1">
        <v>16.009999999999998</v>
      </c>
      <c r="E26" s="1">
        <v>23.95</v>
      </c>
      <c r="F26" s="1">
        <v>24.200000000000003</v>
      </c>
      <c r="G26" s="1">
        <v>10.989999999999998</v>
      </c>
      <c r="H26" s="1">
        <v>2.5</v>
      </c>
      <c r="I26" s="1">
        <v>1.0799999999999998</v>
      </c>
      <c r="J26" s="1">
        <v>1.32</v>
      </c>
      <c r="K26" s="1">
        <v>0.52</v>
      </c>
      <c r="L26" s="1">
        <v>0</v>
      </c>
      <c r="M26" s="1">
        <v>0</v>
      </c>
    </row>
    <row r="27" spans="1:13" x14ac:dyDescent="0.2">
      <c r="A27" s="1">
        <v>4.4000000000000004</v>
      </c>
      <c r="B27" s="1">
        <v>9.07</v>
      </c>
      <c r="C27" s="1">
        <v>9.64</v>
      </c>
      <c r="D27" s="1">
        <v>15.600000000000001</v>
      </c>
      <c r="E27" s="1">
        <v>23.18</v>
      </c>
      <c r="F27" s="1">
        <v>23.63</v>
      </c>
      <c r="G27" s="1">
        <v>11.65</v>
      </c>
      <c r="H27" s="1">
        <v>3.7</v>
      </c>
      <c r="I27" s="1">
        <v>1.9400000000000002</v>
      </c>
      <c r="J27" s="1">
        <v>1.45</v>
      </c>
      <c r="K27" s="1">
        <v>0.13999999999999999</v>
      </c>
      <c r="L27" s="1">
        <v>0</v>
      </c>
      <c r="M27" s="1">
        <v>0</v>
      </c>
    </row>
    <row r="28" spans="1:13" x14ac:dyDescent="0.2">
      <c r="A28" s="1">
        <v>4.45</v>
      </c>
      <c r="B28" s="1">
        <v>8.3999999999999986</v>
      </c>
      <c r="C28" s="1">
        <v>9.0599999999999987</v>
      </c>
      <c r="D28" s="1">
        <v>14.93</v>
      </c>
      <c r="E28" s="1">
        <v>23.75</v>
      </c>
      <c r="F28" s="1">
        <v>26.490000000000002</v>
      </c>
      <c r="G28" s="1">
        <v>12.229999999999999</v>
      </c>
      <c r="H28" s="1">
        <v>3.1999999999999997</v>
      </c>
      <c r="I28" s="1">
        <v>1.68</v>
      </c>
      <c r="J28" s="1">
        <v>0.24999999999999997</v>
      </c>
      <c r="K28" s="1">
        <v>0</v>
      </c>
      <c r="L28" s="1">
        <v>0</v>
      </c>
      <c r="M28" s="1">
        <v>0</v>
      </c>
    </row>
    <row r="29" spans="1:13" x14ac:dyDescent="0.2">
      <c r="A29" s="1">
        <v>4.5</v>
      </c>
      <c r="B29" s="1">
        <v>8.49</v>
      </c>
      <c r="C29" s="1">
        <v>9.19</v>
      </c>
      <c r="D29" s="1">
        <v>15.47</v>
      </c>
      <c r="E29" s="1">
        <v>23.769999999999996</v>
      </c>
      <c r="F29" s="1">
        <v>24.25</v>
      </c>
      <c r="G29" s="1">
        <v>12.01</v>
      </c>
      <c r="H29" s="1">
        <v>3.4600000000000004</v>
      </c>
      <c r="I29" s="1">
        <v>1.58</v>
      </c>
      <c r="J29" s="1">
        <v>1.3900000000000001</v>
      </c>
      <c r="K29" s="1">
        <v>0.38</v>
      </c>
      <c r="L29" s="1">
        <v>0</v>
      </c>
      <c r="M29" s="1">
        <v>0</v>
      </c>
    </row>
    <row r="30" spans="1:13" x14ac:dyDescent="0.2">
      <c r="A30" s="1">
        <v>4.55</v>
      </c>
      <c r="B30" s="1">
        <v>8.49</v>
      </c>
      <c r="C30" s="1">
        <v>9.17</v>
      </c>
      <c r="D30" s="1">
        <v>15.54</v>
      </c>
      <c r="E30" s="1">
        <v>23.999999999999996</v>
      </c>
      <c r="F30" s="1">
        <v>24.26</v>
      </c>
      <c r="G30" s="1">
        <v>12.409999999999998</v>
      </c>
      <c r="H30" s="1">
        <v>3.69</v>
      </c>
      <c r="I30" s="1">
        <v>1.8200000000000003</v>
      </c>
      <c r="J30" s="1">
        <v>0.60000000000000009</v>
      </c>
      <c r="K30" s="1">
        <v>0</v>
      </c>
      <c r="L30" s="1">
        <v>0</v>
      </c>
      <c r="M30" s="1">
        <v>0</v>
      </c>
    </row>
    <row r="31" spans="1:13" x14ac:dyDescent="0.2">
      <c r="A31" s="1">
        <v>4.5999999999999996</v>
      </c>
      <c r="B31" s="1">
        <v>8.9700000000000006</v>
      </c>
      <c r="C31" s="1">
        <v>9.81</v>
      </c>
      <c r="D31" s="1">
        <v>16.479999999999997</v>
      </c>
      <c r="E31" s="1">
        <v>24.869999999999997</v>
      </c>
      <c r="F31" s="1">
        <v>24.25</v>
      </c>
      <c r="G31" s="1">
        <v>11.33</v>
      </c>
      <c r="H31" s="1">
        <v>2.79</v>
      </c>
      <c r="I31" s="1">
        <v>1.23</v>
      </c>
      <c r="J31" s="1">
        <v>0.25</v>
      </c>
      <c r="K31" s="1">
        <v>0</v>
      </c>
      <c r="L31" s="1">
        <v>0</v>
      </c>
      <c r="M31" s="1">
        <v>0</v>
      </c>
    </row>
    <row r="32" spans="1:13" x14ac:dyDescent="0.2">
      <c r="A32" s="1">
        <v>4.6500000000000004</v>
      </c>
      <c r="B32" s="1">
        <v>9.2800000000000011</v>
      </c>
      <c r="C32" s="1">
        <v>10.090000000000002</v>
      </c>
      <c r="D32" s="1">
        <v>17.07</v>
      </c>
      <c r="E32" s="1">
        <v>25.130000000000003</v>
      </c>
      <c r="F32" s="1">
        <v>23.55</v>
      </c>
      <c r="G32" s="1">
        <v>10.8</v>
      </c>
      <c r="H32" s="1">
        <v>2.58</v>
      </c>
      <c r="I32" s="1">
        <v>0.96000000000000008</v>
      </c>
      <c r="J32" s="1">
        <v>0.49</v>
      </c>
      <c r="K32" s="1">
        <v>0.03</v>
      </c>
      <c r="L32" s="1">
        <v>0</v>
      </c>
      <c r="M32" s="1">
        <v>0</v>
      </c>
    </row>
    <row r="33" spans="1:13" x14ac:dyDescent="0.2">
      <c r="A33" s="1">
        <v>4.7</v>
      </c>
      <c r="B33" s="1">
        <v>7.53</v>
      </c>
      <c r="C33" s="1">
        <v>9.86</v>
      </c>
      <c r="D33" s="1">
        <v>17.13</v>
      </c>
      <c r="E33" s="1">
        <v>25.570000000000004</v>
      </c>
      <c r="F33" s="1">
        <v>24.16</v>
      </c>
      <c r="G33" s="1">
        <v>11.639999999999999</v>
      </c>
      <c r="H33" s="1">
        <v>3.05</v>
      </c>
      <c r="I33" s="1">
        <v>0.99</v>
      </c>
      <c r="J33" s="1">
        <v>0.09</v>
      </c>
      <c r="K33" s="1">
        <v>0</v>
      </c>
      <c r="L33" s="1">
        <v>0</v>
      </c>
      <c r="M33" s="1">
        <v>0</v>
      </c>
    </row>
    <row r="34" spans="1:13" x14ac:dyDescent="0.2">
      <c r="A34" s="1">
        <v>4.75</v>
      </c>
      <c r="B34" s="1">
        <v>6.7200000000000006</v>
      </c>
      <c r="C34" s="1">
        <v>8.7199999999999989</v>
      </c>
      <c r="D34" s="1">
        <v>17.490000000000002</v>
      </c>
      <c r="E34" s="1">
        <v>28.949999999999996</v>
      </c>
      <c r="F34" s="1">
        <v>26.269999999999996</v>
      </c>
      <c r="G34" s="1">
        <v>9.86</v>
      </c>
      <c r="H34" s="1">
        <v>1.62</v>
      </c>
      <c r="I34" s="1">
        <v>0.36</v>
      </c>
      <c r="J34" s="1">
        <v>0</v>
      </c>
      <c r="K34" s="1">
        <v>0</v>
      </c>
      <c r="L34" s="1">
        <v>0</v>
      </c>
      <c r="M34" s="1">
        <v>0</v>
      </c>
    </row>
    <row r="35" spans="1:13" x14ac:dyDescent="0.2">
      <c r="A35" s="1">
        <v>4.8</v>
      </c>
      <c r="B35" s="1">
        <v>9.5400000000000009</v>
      </c>
      <c r="C35" s="1">
        <v>10.1</v>
      </c>
      <c r="D35" s="1">
        <v>16.5</v>
      </c>
      <c r="E35" s="1">
        <v>25.029999999999998</v>
      </c>
      <c r="F35" s="1">
        <v>23.810000000000002</v>
      </c>
      <c r="G35" s="1">
        <v>10.61</v>
      </c>
      <c r="H35" s="1">
        <v>2.7</v>
      </c>
      <c r="I35" s="1">
        <v>0.8</v>
      </c>
      <c r="J35" s="1">
        <v>0.69000000000000006</v>
      </c>
      <c r="K35" s="1">
        <v>0.22</v>
      </c>
      <c r="L35" s="1">
        <v>0</v>
      </c>
      <c r="M35" s="1">
        <v>0</v>
      </c>
    </row>
    <row r="36" spans="1:13" x14ac:dyDescent="0.2">
      <c r="A36" s="1">
        <v>4.8499999999999996</v>
      </c>
      <c r="B36" s="1">
        <v>7.6357398233900495</v>
      </c>
      <c r="C36" s="1">
        <v>10.227199009261255</v>
      </c>
      <c r="D36" s="1">
        <v>16.849816928709885</v>
      </c>
      <c r="E36" s="1">
        <v>24.901469954770626</v>
      </c>
      <c r="F36" s="1">
        <v>22.821903941417194</v>
      </c>
      <c r="G36" s="1">
        <v>9.8859368942494097</v>
      </c>
      <c r="H36" s="1">
        <v>2.9647146241654108</v>
      </c>
      <c r="I36" s="1">
        <v>1.3223906956709026</v>
      </c>
      <c r="J36" s="1">
        <v>1.6743172517768685</v>
      </c>
      <c r="K36" s="1">
        <v>0.74651087658841264</v>
      </c>
      <c r="L36" s="1">
        <v>0</v>
      </c>
      <c r="M36" s="1">
        <v>0</v>
      </c>
    </row>
    <row r="37" spans="1:13" x14ac:dyDescent="0.2">
      <c r="A37" s="1">
        <v>4.9000000000000004</v>
      </c>
      <c r="B37" s="1">
        <v>10.059999999999999</v>
      </c>
      <c r="C37" s="1">
        <v>10.31</v>
      </c>
      <c r="D37" s="1">
        <v>16.82</v>
      </c>
      <c r="E37" s="1">
        <v>26.189999999999998</v>
      </c>
      <c r="F37" s="1">
        <v>25.160000000000004</v>
      </c>
      <c r="G37" s="1">
        <v>9.26</v>
      </c>
      <c r="H37" s="1">
        <v>1.4699999999999998</v>
      </c>
      <c r="I37" s="1">
        <v>0.41000000000000003</v>
      </c>
      <c r="J37" s="1">
        <v>0.26999999999999996</v>
      </c>
      <c r="K37" s="1">
        <v>0.02</v>
      </c>
      <c r="L37" s="1">
        <v>0</v>
      </c>
      <c r="M37" s="1">
        <v>0</v>
      </c>
    </row>
    <row r="38" spans="1:13" x14ac:dyDescent="0.2">
      <c r="A38" s="1">
        <v>4.95</v>
      </c>
      <c r="B38" s="1">
        <v>8.9599999999999991</v>
      </c>
      <c r="C38" s="1">
        <v>10.77</v>
      </c>
      <c r="D38" s="1">
        <v>18.170000000000002</v>
      </c>
      <c r="E38" s="1">
        <v>25.13</v>
      </c>
      <c r="F38" s="1">
        <v>21.560000000000002</v>
      </c>
      <c r="G38" s="1">
        <v>9.48</v>
      </c>
      <c r="H38" s="1">
        <v>2.7600000000000002</v>
      </c>
      <c r="I38" s="1">
        <v>1.0999999999999999</v>
      </c>
      <c r="J38" s="1">
        <v>1.22</v>
      </c>
      <c r="K38" s="1">
        <v>0.86</v>
      </c>
      <c r="L38" s="1">
        <v>0.01</v>
      </c>
      <c r="M38" s="1">
        <v>0</v>
      </c>
    </row>
    <row r="39" spans="1:13" x14ac:dyDescent="0.2">
      <c r="A39" s="1">
        <v>5</v>
      </c>
      <c r="B39" s="1">
        <v>9.42</v>
      </c>
      <c r="C39" s="1">
        <v>10.1</v>
      </c>
      <c r="D39" s="1">
        <v>16.350000000000001</v>
      </c>
      <c r="E39" s="1">
        <v>23.77</v>
      </c>
      <c r="F39" s="1">
        <v>22.67</v>
      </c>
      <c r="G39" s="1">
        <v>11.07</v>
      </c>
      <c r="H39" s="1">
        <v>3.56</v>
      </c>
      <c r="I39" s="1">
        <v>1.86</v>
      </c>
      <c r="J39" s="1">
        <v>1.08</v>
      </c>
      <c r="K39" s="1">
        <v>0.1</v>
      </c>
      <c r="L39" s="1">
        <v>0</v>
      </c>
      <c r="M39" s="1">
        <v>0</v>
      </c>
    </row>
    <row r="40" spans="1:13" x14ac:dyDescent="0.2">
      <c r="A40" s="1">
        <v>5.05</v>
      </c>
      <c r="B40" s="1">
        <v>9.15</v>
      </c>
      <c r="C40" s="1">
        <v>10.18</v>
      </c>
      <c r="D40" s="1">
        <v>16.48</v>
      </c>
      <c r="E40" s="1">
        <v>24.2</v>
      </c>
      <c r="F40" s="1">
        <v>22.720000000000002</v>
      </c>
      <c r="G40" s="1">
        <v>10.260000000000002</v>
      </c>
      <c r="H40" s="1">
        <v>3.33</v>
      </c>
      <c r="I40" s="1">
        <v>2.08</v>
      </c>
      <c r="J40" s="1">
        <v>1.46</v>
      </c>
      <c r="K40" s="1">
        <v>0.12</v>
      </c>
      <c r="L40" s="1">
        <v>0</v>
      </c>
      <c r="M40" s="1">
        <v>0</v>
      </c>
    </row>
    <row r="41" spans="1:13" x14ac:dyDescent="0.2">
      <c r="A41" s="1">
        <v>5.0999999999999996</v>
      </c>
      <c r="B41" s="1">
        <v>8.99</v>
      </c>
      <c r="C41" s="1">
        <v>9.69</v>
      </c>
      <c r="D41" s="1">
        <v>15.850000000000001</v>
      </c>
      <c r="E41" s="1">
        <v>23.25</v>
      </c>
      <c r="F41" s="1">
        <v>22.630000000000003</v>
      </c>
      <c r="G41" s="1">
        <v>11.16</v>
      </c>
      <c r="H41" s="1">
        <v>4</v>
      </c>
      <c r="I41" s="1">
        <v>2.33</v>
      </c>
      <c r="J41" s="1">
        <v>1.7000000000000002</v>
      </c>
      <c r="K41" s="1">
        <v>0.42</v>
      </c>
      <c r="L41" s="1">
        <v>0</v>
      </c>
      <c r="M41" s="1">
        <v>0</v>
      </c>
    </row>
    <row r="42" spans="1:13" x14ac:dyDescent="0.2">
      <c r="A42" s="1">
        <v>5.15</v>
      </c>
      <c r="B42" s="1">
        <v>8.25</v>
      </c>
      <c r="C42" s="1">
        <v>9.6999999999999993</v>
      </c>
      <c r="D42" s="1">
        <v>17.46</v>
      </c>
      <c r="E42" s="1">
        <v>26.39</v>
      </c>
      <c r="F42" s="1">
        <v>24.19</v>
      </c>
      <c r="G42" s="1">
        <v>11.100000000000001</v>
      </c>
      <c r="H42" s="1">
        <v>2.73</v>
      </c>
      <c r="I42" s="1">
        <v>0.17</v>
      </c>
      <c r="J42" s="1">
        <v>0.02</v>
      </c>
      <c r="K42" s="1">
        <v>0</v>
      </c>
      <c r="L42" s="1">
        <v>0</v>
      </c>
      <c r="M42" s="1">
        <v>0</v>
      </c>
    </row>
    <row r="43" spans="1:13" x14ac:dyDescent="0.2">
      <c r="A43" s="1">
        <v>5.2</v>
      </c>
      <c r="B43" s="1">
        <v>10.29</v>
      </c>
      <c r="C43" s="1">
        <v>10.419999999999998</v>
      </c>
      <c r="D43" s="1">
        <v>16.72</v>
      </c>
      <c r="E43" s="1">
        <v>24.619999999999997</v>
      </c>
      <c r="F43" s="1">
        <v>24.439999999999998</v>
      </c>
      <c r="G43" s="1">
        <v>11.26</v>
      </c>
      <c r="H43" s="1">
        <v>2.1799999999999997</v>
      </c>
      <c r="I43" s="1">
        <v>0.08</v>
      </c>
      <c r="J43" s="1">
        <v>0</v>
      </c>
      <c r="K43" s="1">
        <v>0</v>
      </c>
      <c r="L43" s="1">
        <v>0</v>
      </c>
      <c r="M43" s="1">
        <v>0</v>
      </c>
    </row>
    <row r="44" spans="1:13" x14ac:dyDescent="0.2">
      <c r="A44" s="1">
        <v>5.25</v>
      </c>
      <c r="B44" s="1">
        <v>8.8600000000000012</v>
      </c>
      <c r="C44" s="1">
        <v>9.4</v>
      </c>
      <c r="D44" s="1">
        <v>15.28</v>
      </c>
      <c r="E44" s="1">
        <v>23.619999999999997</v>
      </c>
      <c r="F44" s="1">
        <v>25.14</v>
      </c>
      <c r="G44" s="1">
        <v>12.419999999999998</v>
      </c>
      <c r="H44" s="1">
        <v>4.3900000000000006</v>
      </c>
      <c r="I44" s="1">
        <v>0.9</v>
      </c>
      <c r="J44" s="1">
        <v>0</v>
      </c>
      <c r="K44" s="1">
        <v>0</v>
      </c>
      <c r="L44" s="1">
        <v>0</v>
      </c>
      <c r="M44" s="1">
        <v>0</v>
      </c>
    </row>
    <row r="45" spans="1:13" x14ac:dyDescent="0.2">
      <c r="A45" s="1">
        <v>5.3</v>
      </c>
      <c r="B45" s="1">
        <v>9.4199999999999982</v>
      </c>
      <c r="C45" s="1">
        <v>9.7199999999999989</v>
      </c>
      <c r="D45" s="1">
        <v>15.79</v>
      </c>
      <c r="E45" s="1">
        <v>24.230000000000004</v>
      </c>
      <c r="F45" s="1">
        <v>25.45</v>
      </c>
      <c r="G45" s="1">
        <v>12.47</v>
      </c>
      <c r="H45" s="1">
        <v>2.7900000000000005</v>
      </c>
      <c r="I45" s="1">
        <v>0.17</v>
      </c>
      <c r="J45" s="1">
        <v>0</v>
      </c>
      <c r="K45" s="1">
        <v>0</v>
      </c>
      <c r="L45" s="1">
        <v>0</v>
      </c>
      <c r="M45" s="1">
        <v>0</v>
      </c>
    </row>
    <row r="46" spans="1:13" x14ac:dyDescent="0.2">
      <c r="A46" s="1">
        <v>5.35</v>
      </c>
      <c r="B46" s="1">
        <v>8.7199999999999989</v>
      </c>
      <c r="C46" s="1">
        <v>8.9599999999999991</v>
      </c>
      <c r="D46" s="1">
        <v>14.100000000000001</v>
      </c>
      <c r="E46" s="1">
        <v>24.55</v>
      </c>
      <c r="F46" s="1">
        <v>27.250000000000004</v>
      </c>
      <c r="G46" s="1">
        <v>12.950000000000001</v>
      </c>
      <c r="H46" s="1">
        <v>2.8200000000000003</v>
      </c>
      <c r="I46" s="1">
        <v>0.63000000000000012</v>
      </c>
      <c r="J46" s="1">
        <v>0.04</v>
      </c>
      <c r="K46" s="1">
        <v>0</v>
      </c>
      <c r="L46" s="1">
        <v>0</v>
      </c>
      <c r="M46" s="1">
        <v>0</v>
      </c>
    </row>
    <row r="47" spans="1:13" x14ac:dyDescent="0.2">
      <c r="A47" s="1">
        <v>5.4</v>
      </c>
      <c r="B47" s="1">
        <v>8.84</v>
      </c>
      <c r="C47" s="1">
        <v>9.33</v>
      </c>
      <c r="D47" s="1">
        <v>15.010000000000002</v>
      </c>
      <c r="E47" s="1">
        <v>24.889999999999997</v>
      </c>
      <c r="F47" s="1">
        <v>27.14</v>
      </c>
      <c r="G47" s="1">
        <v>12.44</v>
      </c>
      <c r="H47" s="1">
        <v>2.3400000000000003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</row>
    <row r="48" spans="1:13" x14ac:dyDescent="0.2">
      <c r="A48" s="1">
        <v>5.45</v>
      </c>
      <c r="B48" s="1">
        <v>8.15</v>
      </c>
      <c r="C48" s="1">
        <v>8.69</v>
      </c>
      <c r="D48" s="1">
        <v>14.72</v>
      </c>
      <c r="E48" s="1">
        <v>25.28</v>
      </c>
      <c r="F48" s="1">
        <v>27.68</v>
      </c>
      <c r="G48" s="1">
        <v>12.219999999999999</v>
      </c>
      <c r="H48" s="1">
        <v>2.83</v>
      </c>
      <c r="I48" s="1">
        <v>0.43</v>
      </c>
      <c r="J48" s="1">
        <v>0</v>
      </c>
      <c r="K48" s="1">
        <v>0</v>
      </c>
      <c r="L48" s="1">
        <v>0</v>
      </c>
      <c r="M48" s="1">
        <v>0</v>
      </c>
    </row>
    <row r="49" spans="1:13" x14ac:dyDescent="0.2">
      <c r="A49" s="1">
        <v>5.5</v>
      </c>
      <c r="B49" s="1">
        <v>9.08</v>
      </c>
      <c r="C49" s="1">
        <v>9.25</v>
      </c>
      <c r="D49" s="1">
        <v>15.06</v>
      </c>
      <c r="E49" s="1">
        <v>24.19</v>
      </c>
      <c r="F49" s="1">
        <v>26.520000000000003</v>
      </c>
      <c r="G49" s="1">
        <v>13.299999999999999</v>
      </c>
      <c r="H49" s="1">
        <v>2.5600000000000005</v>
      </c>
      <c r="I49" s="1">
        <v>0.02</v>
      </c>
      <c r="J49" s="1">
        <v>0</v>
      </c>
      <c r="K49" s="1">
        <v>0</v>
      </c>
      <c r="L49" s="1">
        <v>0</v>
      </c>
      <c r="M49" s="1">
        <v>0</v>
      </c>
    </row>
    <row r="50" spans="1:13" x14ac:dyDescent="0.2">
      <c r="A50" s="1">
        <v>5.55</v>
      </c>
      <c r="B50" s="1">
        <v>8.77</v>
      </c>
      <c r="C50" s="1">
        <v>9.66</v>
      </c>
      <c r="D50" s="1">
        <v>15.68</v>
      </c>
      <c r="E50" s="1">
        <v>23.879999999999995</v>
      </c>
      <c r="F50" s="1">
        <v>24.11</v>
      </c>
      <c r="G50" s="1">
        <v>13.899999999999999</v>
      </c>
      <c r="H50" s="1">
        <v>3.9699999999999998</v>
      </c>
      <c r="I50" s="1">
        <v>0.03</v>
      </c>
      <c r="J50" s="1">
        <v>0</v>
      </c>
      <c r="K50" s="1">
        <v>0</v>
      </c>
      <c r="L50" s="1">
        <v>0</v>
      </c>
      <c r="M50" s="1">
        <v>0</v>
      </c>
    </row>
    <row r="51" spans="1:13" x14ac:dyDescent="0.2">
      <c r="A51" s="1">
        <v>5.6</v>
      </c>
      <c r="B51" s="1">
        <v>9.3999999999999986</v>
      </c>
      <c r="C51" s="1">
        <v>9.5599999999999987</v>
      </c>
      <c r="D51" s="1">
        <v>15.21</v>
      </c>
      <c r="E51" s="1">
        <v>24.040000000000003</v>
      </c>
      <c r="F51" s="1">
        <v>24.73</v>
      </c>
      <c r="G51" s="1">
        <v>12.709999999999999</v>
      </c>
      <c r="H51" s="1">
        <v>3.08</v>
      </c>
      <c r="I51" s="1">
        <v>0.8600000000000001</v>
      </c>
      <c r="J51" s="1">
        <v>0.36</v>
      </c>
      <c r="K51" s="1">
        <v>0.03</v>
      </c>
      <c r="L51" s="1">
        <v>0</v>
      </c>
      <c r="M51" s="1">
        <v>0</v>
      </c>
    </row>
    <row r="52" spans="1:13" x14ac:dyDescent="0.2">
      <c r="A52" s="1">
        <v>5.65</v>
      </c>
      <c r="B52" s="1">
        <v>9.3899999999999988</v>
      </c>
      <c r="C52" s="1">
        <v>9.4699999999999989</v>
      </c>
      <c r="D52" s="1">
        <v>15.4</v>
      </c>
      <c r="E52" s="1">
        <v>24.230000000000004</v>
      </c>
      <c r="F52" s="1">
        <v>24.67</v>
      </c>
      <c r="G52" s="1">
        <v>12.719999999999999</v>
      </c>
      <c r="H52" s="1">
        <v>3.25</v>
      </c>
      <c r="I52" s="1">
        <v>0.55999999999999994</v>
      </c>
      <c r="J52" s="1">
        <v>0.28999999999999998</v>
      </c>
      <c r="K52" s="1">
        <v>0.01</v>
      </c>
      <c r="L52" s="1">
        <v>0</v>
      </c>
      <c r="M52" s="1">
        <v>0</v>
      </c>
    </row>
    <row r="53" spans="1:13" x14ac:dyDescent="0.2">
      <c r="A53" s="1">
        <v>5.7</v>
      </c>
      <c r="B53" s="1">
        <v>9.120000000000001</v>
      </c>
      <c r="C53" s="1">
        <v>9.5499999999999989</v>
      </c>
      <c r="D53" s="1">
        <v>15.329999999999998</v>
      </c>
      <c r="E53" s="1">
        <v>24.68</v>
      </c>
      <c r="F53" s="1">
        <v>25.11</v>
      </c>
      <c r="G53" s="1">
        <v>11.55</v>
      </c>
      <c r="H53" s="1">
        <v>3.0700000000000003</v>
      </c>
      <c r="I53" s="1">
        <v>0.94000000000000006</v>
      </c>
      <c r="J53" s="1">
        <v>0.5099999999999999</v>
      </c>
      <c r="K53" s="1">
        <v>0.16000000000000003</v>
      </c>
      <c r="L53" s="1">
        <v>0</v>
      </c>
      <c r="M53" s="1">
        <v>0</v>
      </c>
    </row>
    <row r="54" spans="1:13" x14ac:dyDescent="0.2">
      <c r="A54" s="1">
        <v>5.75</v>
      </c>
      <c r="B54" s="1">
        <v>9.3699999999999992</v>
      </c>
      <c r="C54" s="1">
        <v>9.5500000000000007</v>
      </c>
      <c r="D54" s="1">
        <v>14.95</v>
      </c>
      <c r="E54" s="1">
        <v>25.39</v>
      </c>
      <c r="F54" s="1">
        <v>25.03</v>
      </c>
      <c r="G54" s="1">
        <v>11.15</v>
      </c>
      <c r="H54" s="1">
        <v>3.0500000000000003</v>
      </c>
      <c r="I54" s="1">
        <v>0.69000000000000006</v>
      </c>
      <c r="J54" s="1">
        <v>0.73</v>
      </c>
      <c r="K54" s="1">
        <v>0.11</v>
      </c>
      <c r="L54" s="1">
        <v>0</v>
      </c>
      <c r="M54" s="1">
        <v>0</v>
      </c>
    </row>
    <row r="55" spans="1:13" x14ac:dyDescent="0.2">
      <c r="A55" s="1">
        <v>5.8</v>
      </c>
      <c r="B55" s="1">
        <v>9.39</v>
      </c>
      <c r="C55" s="1">
        <v>9.7899999999999991</v>
      </c>
      <c r="D55" s="1">
        <v>15.739999999999998</v>
      </c>
      <c r="E55" s="1">
        <v>25.11</v>
      </c>
      <c r="F55" s="1">
        <v>24.63</v>
      </c>
      <c r="G55" s="1">
        <v>11.129999999999999</v>
      </c>
      <c r="H55" s="1">
        <v>2.71</v>
      </c>
      <c r="I55" s="1">
        <v>0.92000000000000015</v>
      </c>
      <c r="J55" s="1">
        <v>0.54</v>
      </c>
      <c r="K55" s="1">
        <v>0.05</v>
      </c>
      <c r="L55" s="1">
        <v>0</v>
      </c>
      <c r="M55" s="1">
        <v>0</v>
      </c>
    </row>
    <row r="56" spans="1:13" x14ac:dyDescent="0.2">
      <c r="A56" s="1">
        <v>5.85</v>
      </c>
      <c r="B56" s="1">
        <v>10.220000000000002</v>
      </c>
      <c r="C56" s="1">
        <v>10.379999999999999</v>
      </c>
      <c r="D56" s="1">
        <v>16.78</v>
      </c>
      <c r="E56" s="1">
        <v>25.400000000000002</v>
      </c>
      <c r="F56" s="1">
        <v>24.15</v>
      </c>
      <c r="G56" s="1">
        <v>10.429999999999998</v>
      </c>
      <c r="H56" s="1">
        <v>2.11</v>
      </c>
      <c r="I56" s="1">
        <v>0.48</v>
      </c>
      <c r="J56" s="1">
        <v>0.04</v>
      </c>
      <c r="K56" s="1">
        <v>0</v>
      </c>
      <c r="L56" s="1">
        <v>0</v>
      </c>
      <c r="M56" s="1">
        <v>0</v>
      </c>
    </row>
    <row r="57" spans="1:13" x14ac:dyDescent="0.2">
      <c r="A57" s="1">
        <v>5.9</v>
      </c>
      <c r="B57" s="1">
        <v>9.4500000000000011</v>
      </c>
      <c r="C57" s="1">
        <v>10.11</v>
      </c>
      <c r="D57" s="1">
        <v>16.940000000000001</v>
      </c>
      <c r="E57" s="1">
        <v>26.41</v>
      </c>
      <c r="F57" s="1">
        <v>25.11</v>
      </c>
      <c r="G57" s="1">
        <v>9.86</v>
      </c>
      <c r="H57" s="1">
        <v>2.08</v>
      </c>
      <c r="I57" s="1">
        <v>0.05</v>
      </c>
      <c r="J57" s="1">
        <v>0</v>
      </c>
      <c r="K57" s="1">
        <v>0</v>
      </c>
      <c r="L57" s="1">
        <v>0</v>
      </c>
      <c r="M57" s="1">
        <v>0</v>
      </c>
    </row>
    <row r="58" spans="1:13" x14ac:dyDescent="0.2">
      <c r="A58" s="1">
        <v>5.95</v>
      </c>
      <c r="B58" s="1">
        <v>9.6300000000000008</v>
      </c>
      <c r="C58" s="1">
        <v>9.9700000000000006</v>
      </c>
      <c r="D58" s="1">
        <v>17.12</v>
      </c>
      <c r="E58" s="1">
        <v>26.77</v>
      </c>
      <c r="F58" s="1">
        <v>25.010000000000005</v>
      </c>
      <c r="G58" s="1">
        <v>9.58</v>
      </c>
      <c r="H58" s="1">
        <v>1.8900000000000001</v>
      </c>
      <c r="I58" s="1">
        <v>0.01</v>
      </c>
      <c r="J58" s="1">
        <v>0</v>
      </c>
      <c r="K58" s="1">
        <v>0</v>
      </c>
      <c r="L58" s="1">
        <v>0</v>
      </c>
      <c r="M58" s="1">
        <v>0</v>
      </c>
    </row>
    <row r="59" spans="1:13" x14ac:dyDescent="0.2">
      <c r="A59" s="1">
        <v>6</v>
      </c>
      <c r="B59" s="1">
        <v>9.129999999999999</v>
      </c>
      <c r="C59" s="1">
        <v>10</v>
      </c>
      <c r="D59" s="1">
        <v>16.3</v>
      </c>
      <c r="E59" s="1">
        <v>27.01</v>
      </c>
      <c r="F59" s="1">
        <v>26.59</v>
      </c>
      <c r="G59" s="1">
        <v>8.9399999999999977</v>
      </c>
      <c r="H59" s="1">
        <v>1.8499999999999999</v>
      </c>
      <c r="I59" s="1">
        <v>0.17</v>
      </c>
      <c r="J59" s="1">
        <v>0</v>
      </c>
      <c r="K59" s="1">
        <v>0</v>
      </c>
      <c r="L59" s="1">
        <v>0</v>
      </c>
      <c r="M59" s="1">
        <v>0</v>
      </c>
    </row>
    <row r="60" spans="1:13" x14ac:dyDescent="0.2">
      <c r="A60" s="1">
        <v>6.05</v>
      </c>
      <c r="B60" s="1">
        <v>8.9499999999999993</v>
      </c>
      <c r="C60" s="1">
        <v>10.039999999999999</v>
      </c>
      <c r="D60" s="1">
        <v>15.470000000000002</v>
      </c>
      <c r="E60" s="1">
        <v>26.61</v>
      </c>
      <c r="F60" s="1">
        <v>28.89</v>
      </c>
      <c r="G60" s="1">
        <v>7.8100000000000005</v>
      </c>
      <c r="H60" s="1">
        <v>1.31</v>
      </c>
      <c r="I60" s="1">
        <v>0.78</v>
      </c>
      <c r="J60" s="1">
        <v>0.12</v>
      </c>
      <c r="K60" s="1">
        <v>0</v>
      </c>
      <c r="L60" s="1">
        <v>0</v>
      </c>
      <c r="M60" s="1">
        <v>0</v>
      </c>
    </row>
    <row r="61" spans="1:13" x14ac:dyDescent="0.2">
      <c r="A61" s="1">
        <v>6.1</v>
      </c>
      <c r="B61" s="1">
        <v>8.69</v>
      </c>
      <c r="C61" s="1">
        <v>9.91</v>
      </c>
      <c r="D61" s="1">
        <v>15.94</v>
      </c>
      <c r="E61" s="1">
        <v>26.17</v>
      </c>
      <c r="F61" s="1">
        <v>27.159999999999997</v>
      </c>
      <c r="G61" s="1">
        <v>9.27</v>
      </c>
      <c r="H61" s="1">
        <v>2.2200000000000002</v>
      </c>
      <c r="I61" s="1">
        <v>0.68000000000000016</v>
      </c>
      <c r="J61" s="1">
        <v>0</v>
      </c>
      <c r="K61" s="1">
        <v>0</v>
      </c>
      <c r="L61" s="1">
        <v>0</v>
      </c>
      <c r="M61" s="1">
        <v>0</v>
      </c>
    </row>
    <row r="62" spans="1:13" x14ac:dyDescent="0.2">
      <c r="A62" s="1">
        <v>6.15</v>
      </c>
      <c r="B62" s="1">
        <v>9.57</v>
      </c>
      <c r="C62" s="1">
        <v>10</v>
      </c>
      <c r="D62" s="1">
        <v>16.489999999999998</v>
      </c>
      <c r="E62" s="1">
        <v>26.03</v>
      </c>
      <c r="F62" s="1">
        <v>25.07</v>
      </c>
      <c r="G62" s="1">
        <v>9.82</v>
      </c>
      <c r="H62" s="1">
        <v>2.13</v>
      </c>
      <c r="I62" s="1">
        <v>0.69</v>
      </c>
      <c r="J62" s="1">
        <v>0.2</v>
      </c>
      <c r="K62" s="1">
        <v>0</v>
      </c>
      <c r="L62" s="1">
        <v>0</v>
      </c>
      <c r="M62" s="1">
        <v>0</v>
      </c>
    </row>
    <row r="63" spans="1:13" x14ac:dyDescent="0.2">
      <c r="A63" s="1">
        <v>6.2</v>
      </c>
      <c r="B63" s="1">
        <v>9.39</v>
      </c>
      <c r="C63" s="1">
        <v>10.07</v>
      </c>
      <c r="D63" s="1">
        <v>16.41</v>
      </c>
      <c r="E63" s="1">
        <v>26.830000000000002</v>
      </c>
      <c r="F63" s="1">
        <v>25.66</v>
      </c>
      <c r="G63" s="1">
        <v>9.36</v>
      </c>
      <c r="H63" s="1">
        <v>2.0200000000000005</v>
      </c>
      <c r="I63" s="1">
        <v>0.25</v>
      </c>
      <c r="J63" s="1">
        <v>0</v>
      </c>
      <c r="K63" s="1">
        <v>0</v>
      </c>
      <c r="L63" s="1">
        <v>0</v>
      </c>
      <c r="M63" s="1">
        <v>0</v>
      </c>
    </row>
    <row r="64" spans="1:13" x14ac:dyDescent="0.2">
      <c r="A64" s="1">
        <v>6.25</v>
      </c>
      <c r="B64" s="1">
        <v>9.0400000000000009</v>
      </c>
      <c r="C64" s="1">
        <v>9.4699999999999989</v>
      </c>
      <c r="D64" s="1">
        <v>15.95</v>
      </c>
      <c r="E64" s="1">
        <v>25.83</v>
      </c>
      <c r="F64" s="1">
        <v>25.229999999999997</v>
      </c>
      <c r="G64" s="1">
        <v>10.93</v>
      </c>
      <c r="H64" s="1">
        <v>2.6899999999999995</v>
      </c>
      <c r="I64" s="1">
        <v>0.78</v>
      </c>
      <c r="J64" s="1">
        <v>9.9999999999999992E-2</v>
      </c>
      <c r="K64" s="1">
        <v>0</v>
      </c>
      <c r="L64" s="1">
        <v>0</v>
      </c>
      <c r="M64" s="1">
        <v>0</v>
      </c>
    </row>
    <row r="65" spans="1:13" x14ac:dyDescent="0.2">
      <c r="A65" s="1">
        <v>6.3</v>
      </c>
      <c r="B65" s="1">
        <v>8.82</v>
      </c>
      <c r="C65" s="1">
        <v>9.68</v>
      </c>
      <c r="D65" s="1">
        <v>16.009999999999998</v>
      </c>
      <c r="E65" s="1">
        <v>27.849999999999998</v>
      </c>
      <c r="F65" s="1">
        <v>26.16</v>
      </c>
      <c r="G65" s="1">
        <v>7.9599999999999991</v>
      </c>
      <c r="H65" s="1">
        <v>2.0699999999999998</v>
      </c>
      <c r="I65" s="1">
        <v>1.05</v>
      </c>
      <c r="J65" s="1">
        <v>0.37</v>
      </c>
      <c r="K65" s="1">
        <v>0.03</v>
      </c>
      <c r="L65" s="1">
        <v>0</v>
      </c>
      <c r="M65" s="1">
        <v>0</v>
      </c>
    </row>
    <row r="66" spans="1:13" x14ac:dyDescent="0.2">
      <c r="A66" s="1">
        <v>6.35</v>
      </c>
      <c r="B66" s="1">
        <v>7.95</v>
      </c>
      <c r="C66" s="1">
        <v>8.81</v>
      </c>
      <c r="D66" s="1">
        <v>13.540000000000001</v>
      </c>
      <c r="E66" s="1">
        <v>27.549999999999997</v>
      </c>
      <c r="F66" s="1">
        <v>30.799999999999997</v>
      </c>
      <c r="G66" s="1">
        <v>9.06</v>
      </c>
      <c r="H66" s="1">
        <v>2.1</v>
      </c>
      <c r="I66" s="1">
        <v>0.21</v>
      </c>
      <c r="J66" s="1">
        <v>0</v>
      </c>
      <c r="K66" s="1">
        <v>0</v>
      </c>
      <c r="L66" s="1">
        <v>0</v>
      </c>
      <c r="M66" s="1">
        <v>0</v>
      </c>
    </row>
    <row r="67" spans="1:13" x14ac:dyDescent="0.2">
      <c r="A67" s="1">
        <v>6.4</v>
      </c>
      <c r="B67" s="1">
        <v>8.4300000000000015</v>
      </c>
      <c r="C67" s="1">
        <v>9.4599999999999991</v>
      </c>
      <c r="D67" s="1">
        <v>14.459999999999999</v>
      </c>
      <c r="E67" s="1">
        <v>26.85</v>
      </c>
      <c r="F67" s="1">
        <v>28.740000000000002</v>
      </c>
      <c r="G67" s="1">
        <v>8.41</v>
      </c>
      <c r="H67" s="1">
        <v>2.0699999999999998</v>
      </c>
      <c r="I67" s="1">
        <v>0.99</v>
      </c>
      <c r="J67" s="1">
        <v>0.53</v>
      </c>
      <c r="K67" s="1">
        <v>0.05</v>
      </c>
      <c r="L67" s="1">
        <v>0</v>
      </c>
      <c r="M67" s="1">
        <v>0</v>
      </c>
    </row>
    <row r="68" spans="1:13" x14ac:dyDescent="0.2">
      <c r="A68" s="1">
        <v>6.45</v>
      </c>
      <c r="B68" s="1">
        <v>8.42</v>
      </c>
      <c r="C68" s="1">
        <v>8.93</v>
      </c>
      <c r="D68" s="1">
        <v>14.189999999999998</v>
      </c>
      <c r="E68" s="1">
        <v>28.39</v>
      </c>
      <c r="F68" s="1">
        <v>30.060000000000002</v>
      </c>
      <c r="G68" s="1">
        <v>8.02</v>
      </c>
      <c r="H68" s="1">
        <v>1.6600000000000001</v>
      </c>
      <c r="I68" s="1">
        <v>0.29000000000000004</v>
      </c>
      <c r="J68" s="1">
        <v>0.02</v>
      </c>
      <c r="K68" s="1">
        <v>0</v>
      </c>
      <c r="L68" s="1">
        <v>0</v>
      </c>
      <c r="M68" s="1">
        <v>0</v>
      </c>
    </row>
    <row r="69" spans="1:13" x14ac:dyDescent="0.2">
      <c r="A69" s="1">
        <v>6.5</v>
      </c>
      <c r="B69" s="1">
        <v>9.379999999999999</v>
      </c>
      <c r="C69" s="1">
        <v>9.86</v>
      </c>
      <c r="D69" s="1">
        <v>15.379999999999999</v>
      </c>
      <c r="E69" s="1">
        <v>26.85</v>
      </c>
      <c r="F69" s="1">
        <v>27.409999999999997</v>
      </c>
      <c r="G69" s="1">
        <v>8.620000000000001</v>
      </c>
      <c r="H69" s="1">
        <v>1.9500000000000002</v>
      </c>
      <c r="I69" s="1">
        <v>0.42999999999999994</v>
      </c>
      <c r="J69" s="1">
        <v>0.1</v>
      </c>
      <c r="K69" s="1">
        <v>0</v>
      </c>
      <c r="L69" s="1">
        <v>0</v>
      </c>
      <c r="M69" s="1">
        <v>0</v>
      </c>
    </row>
    <row r="70" spans="1:13" x14ac:dyDescent="0.2">
      <c r="A70" s="1">
        <v>6.55</v>
      </c>
      <c r="B70" s="1">
        <v>9.25</v>
      </c>
      <c r="C70" s="1">
        <v>9.68</v>
      </c>
      <c r="D70" s="1">
        <v>16.080000000000002</v>
      </c>
      <c r="E70" s="1">
        <v>28.089999999999996</v>
      </c>
      <c r="F70" s="1">
        <v>26.85</v>
      </c>
      <c r="G70" s="1">
        <v>8.9700000000000006</v>
      </c>
      <c r="H70" s="1">
        <v>1.0900000000000001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</row>
    <row r="71" spans="1:13" x14ac:dyDescent="0.2">
      <c r="A71" s="1">
        <v>6.6</v>
      </c>
      <c r="B71" s="1">
        <v>9.58</v>
      </c>
      <c r="C71" s="1">
        <v>9.7899999999999991</v>
      </c>
      <c r="D71" s="1">
        <v>16.02</v>
      </c>
      <c r="E71" s="1">
        <v>27.08</v>
      </c>
      <c r="F71" s="1">
        <v>25.6</v>
      </c>
      <c r="G71" s="1">
        <v>9.25</v>
      </c>
      <c r="H71" s="1">
        <v>2.52</v>
      </c>
      <c r="I71" s="1">
        <v>0.15</v>
      </c>
      <c r="J71" s="1">
        <v>0</v>
      </c>
      <c r="K71" s="1">
        <v>0</v>
      </c>
      <c r="L71" s="1">
        <v>0</v>
      </c>
      <c r="M71" s="1">
        <v>0</v>
      </c>
    </row>
    <row r="72" spans="1:13" x14ac:dyDescent="0.2">
      <c r="A72" s="1">
        <v>6.65</v>
      </c>
      <c r="B72" s="1">
        <v>9.14</v>
      </c>
      <c r="C72" s="1">
        <v>9.9500000000000011</v>
      </c>
      <c r="D72" s="1">
        <v>14.950000000000001</v>
      </c>
      <c r="E72" s="1">
        <v>26.25</v>
      </c>
      <c r="F72" s="1">
        <v>29.26</v>
      </c>
      <c r="G72" s="1">
        <v>9.75</v>
      </c>
      <c r="H72" s="1">
        <v>0.71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</row>
    <row r="73" spans="1:13" x14ac:dyDescent="0.2">
      <c r="A73" s="1">
        <v>6.7</v>
      </c>
      <c r="B73" s="1">
        <v>9.5499999999999989</v>
      </c>
      <c r="C73" s="1">
        <v>10.399999999999999</v>
      </c>
      <c r="D73" s="1">
        <v>17.03</v>
      </c>
      <c r="E73" s="1">
        <v>27.08</v>
      </c>
      <c r="F73" s="1">
        <v>24.39</v>
      </c>
      <c r="G73" s="1">
        <v>7.36</v>
      </c>
      <c r="H73" s="1">
        <v>1.97</v>
      </c>
      <c r="I73" s="1">
        <v>1.1499999999999999</v>
      </c>
      <c r="J73" s="1">
        <v>0.91</v>
      </c>
      <c r="K73" s="1">
        <v>0.15000000000000002</v>
      </c>
      <c r="L73" s="1">
        <v>0</v>
      </c>
      <c r="M73" s="1">
        <v>0</v>
      </c>
    </row>
    <row r="74" spans="1:13" x14ac:dyDescent="0.2">
      <c r="A74" s="1">
        <v>6.75</v>
      </c>
      <c r="B74" s="1">
        <v>9.4700000000000006</v>
      </c>
      <c r="C74" s="1">
        <v>10.19</v>
      </c>
      <c r="D74" s="1">
        <v>16.310000000000002</v>
      </c>
      <c r="E74" s="1">
        <v>27.769999999999996</v>
      </c>
      <c r="F74" s="1">
        <v>27.049999999999997</v>
      </c>
      <c r="G74" s="1">
        <v>8.08</v>
      </c>
      <c r="H74" s="1">
        <v>1.1100000000000001</v>
      </c>
      <c r="I74" s="1">
        <v>0.01</v>
      </c>
      <c r="J74" s="1">
        <v>0</v>
      </c>
      <c r="K74" s="1">
        <v>0</v>
      </c>
      <c r="L74" s="1">
        <v>0</v>
      </c>
      <c r="M74" s="1">
        <v>0</v>
      </c>
    </row>
    <row r="75" spans="1:13" x14ac:dyDescent="0.2">
      <c r="A75" s="1">
        <v>6.8</v>
      </c>
      <c r="B75" s="1">
        <v>9.0600000000000023</v>
      </c>
      <c r="C75" s="1">
        <v>9.68</v>
      </c>
      <c r="D75" s="1">
        <v>15.360000000000001</v>
      </c>
      <c r="E75" s="1">
        <v>27.759999999999998</v>
      </c>
      <c r="F75" s="1">
        <v>26.060000000000002</v>
      </c>
      <c r="G75" s="1">
        <v>7.8299999999999992</v>
      </c>
      <c r="H75" s="1">
        <v>2.11</v>
      </c>
      <c r="I75" s="1">
        <v>1.28</v>
      </c>
      <c r="J75" s="1">
        <v>0.74</v>
      </c>
      <c r="K75" s="1">
        <v>9.9999999999999992E-2</v>
      </c>
      <c r="L75" s="1">
        <v>0</v>
      </c>
      <c r="M75" s="1">
        <v>0</v>
      </c>
    </row>
    <row r="76" spans="1:13" x14ac:dyDescent="0.2">
      <c r="A76" s="1">
        <v>6.85</v>
      </c>
      <c r="B76" s="1">
        <v>8.7999999999999989</v>
      </c>
      <c r="C76" s="1">
        <v>9.66</v>
      </c>
      <c r="D76" s="1">
        <v>15.190000000000001</v>
      </c>
      <c r="E76" s="1">
        <v>29.130000000000003</v>
      </c>
      <c r="F76" s="1">
        <v>29.139999999999997</v>
      </c>
      <c r="G76" s="1">
        <v>7.57</v>
      </c>
      <c r="H76" s="1">
        <v>0.53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</row>
    <row r="77" spans="1:13" x14ac:dyDescent="0.2">
      <c r="A77" s="1">
        <v>6.9</v>
      </c>
      <c r="B77" s="1">
        <v>9.0600000000000023</v>
      </c>
      <c r="C77" s="1">
        <v>9.68</v>
      </c>
      <c r="D77" s="1">
        <v>15.360000000000001</v>
      </c>
      <c r="E77" s="1">
        <v>27.759999999999998</v>
      </c>
      <c r="F77" s="1">
        <v>26.060000000000002</v>
      </c>
      <c r="G77" s="1">
        <v>7.8299999999999992</v>
      </c>
      <c r="H77" s="1">
        <v>2.11</v>
      </c>
      <c r="I77" s="1">
        <v>1.28</v>
      </c>
      <c r="J77" s="1">
        <v>0.74</v>
      </c>
      <c r="K77" s="1">
        <v>9.9999999999999992E-2</v>
      </c>
      <c r="L77" s="1">
        <v>0</v>
      </c>
      <c r="M77" s="1">
        <v>0</v>
      </c>
    </row>
    <row r="78" spans="1:13" x14ac:dyDescent="0.2">
      <c r="A78" s="1">
        <v>6.95</v>
      </c>
      <c r="B78" s="1">
        <v>10.73</v>
      </c>
      <c r="C78" s="1">
        <v>11.08</v>
      </c>
      <c r="D78" s="1">
        <v>14.85</v>
      </c>
      <c r="E78" s="1">
        <v>29.509999999999998</v>
      </c>
      <c r="F78" s="1">
        <v>28.53</v>
      </c>
      <c r="G78" s="1">
        <v>5.2299999999999995</v>
      </c>
      <c r="H78" s="1">
        <v>9.0000000000000011E-2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</row>
    <row r="79" spans="1:13" x14ac:dyDescent="0.2">
      <c r="A79" s="1">
        <v>7</v>
      </c>
      <c r="B79" s="1">
        <v>8.6700000000000017</v>
      </c>
      <c r="C79" s="1">
        <v>9.3999999999999986</v>
      </c>
      <c r="D79" s="1">
        <v>14.65</v>
      </c>
      <c r="E79" s="1">
        <v>27.11</v>
      </c>
      <c r="F79" s="1">
        <v>27.75</v>
      </c>
      <c r="G79" s="1">
        <v>7.72</v>
      </c>
      <c r="H79" s="1">
        <v>2.0300000000000002</v>
      </c>
      <c r="I79" s="1">
        <v>1.3</v>
      </c>
      <c r="J79" s="1">
        <v>0.79</v>
      </c>
      <c r="K79" s="1">
        <v>0.25</v>
      </c>
      <c r="L79" s="1">
        <v>0.22000000000000003</v>
      </c>
      <c r="M79" s="1">
        <v>0</v>
      </c>
    </row>
    <row r="80" spans="1:13" x14ac:dyDescent="0.2">
      <c r="A80" s="1">
        <v>7.05</v>
      </c>
      <c r="B80" s="1">
        <v>8.51</v>
      </c>
      <c r="C80" s="1">
        <v>8.9599999999999991</v>
      </c>
      <c r="D80" s="1">
        <v>14.120000000000001</v>
      </c>
      <c r="E80" s="1">
        <v>28.040000000000003</v>
      </c>
      <c r="F80" s="1">
        <v>30.37</v>
      </c>
      <c r="G80" s="1">
        <v>9.23</v>
      </c>
      <c r="H80" s="1">
        <v>0.76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</row>
    <row r="81" spans="1:13" x14ac:dyDescent="0.2">
      <c r="A81" s="1">
        <v>7.15</v>
      </c>
      <c r="B81" s="1">
        <v>8.84</v>
      </c>
      <c r="C81" s="1">
        <v>9.5899999999999981</v>
      </c>
      <c r="D81" s="1">
        <v>15.19</v>
      </c>
      <c r="E81" s="1">
        <v>27.6</v>
      </c>
      <c r="F81" s="1">
        <v>26.999999999999996</v>
      </c>
      <c r="G81" s="1">
        <v>7.02</v>
      </c>
      <c r="H81" s="1">
        <v>2.02</v>
      </c>
      <c r="I81" s="1">
        <v>1.31</v>
      </c>
      <c r="J81" s="1">
        <v>1.2</v>
      </c>
      <c r="K81" s="1">
        <v>0.23</v>
      </c>
      <c r="L81" s="1">
        <v>0</v>
      </c>
      <c r="M81" s="1">
        <v>0</v>
      </c>
    </row>
    <row r="82" spans="1:13" x14ac:dyDescent="0.2">
      <c r="A82" s="1">
        <v>7.2</v>
      </c>
      <c r="B82" s="1">
        <v>9.08</v>
      </c>
      <c r="C82" s="1">
        <v>10.029999999999999</v>
      </c>
      <c r="D82" s="1">
        <v>15.02</v>
      </c>
      <c r="E82" s="1">
        <v>27.55</v>
      </c>
      <c r="F82" s="1">
        <v>27.629999999999995</v>
      </c>
      <c r="G82" s="1">
        <v>6.41</v>
      </c>
      <c r="H82" s="1">
        <v>1.7800000000000002</v>
      </c>
      <c r="I82" s="1">
        <v>1.3499999999999999</v>
      </c>
      <c r="J82" s="1">
        <v>0.93</v>
      </c>
      <c r="K82" s="1">
        <v>0.21</v>
      </c>
      <c r="L82" s="1">
        <v>0</v>
      </c>
      <c r="M82" s="1">
        <v>0</v>
      </c>
    </row>
    <row r="83" spans="1:13" x14ac:dyDescent="0.2">
      <c r="A83" s="1">
        <v>7.25</v>
      </c>
      <c r="B83" s="1">
        <v>8.66</v>
      </c>
      <c r="C83" s="1">
        <v>9.51</v>
      </c>
      <c r="D83" s="1">
        <v>14.42</v>
      </c>
      <c r="E83" s="1">
        <v>28.46</v>
      </c>
      <c r="F83" s="1">
        <v>32.25</v>
      </c>
      <c r="G83" s="1">
        <v>6.71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</row>
    <row r="84" spans="1:13" x14ac:dyDescent="0.2">
      <c r="A84" s="1">
        <v>7.3</v>
      </c>
      <c r="B84" s="1">
        <v>8.2200000000000024</v>
      </c>
      <c r="C84" s="1">
        <v>9.1</v>
      </c>
      <c r="D84" s="1">
        <v>15.54</v>
      </c>
      <c r="E84" s="1">
        <v>30.25</v>
      </c>
      <c r="F84" s="1">
        <v>28.54</v>
      </c>
      <c r="G84" s="1">
        <v>6.4</v>
      </c>
      <c r="H84" s="1">
        <v>1.23</v>
      </c>
      <c r="I84" s="1">
        <v>0.64</v>
      </c>
      <c r="J84" s="1">
        <v>0.04</v>
      </c>
      <c r="K84" s="1">
        <v>0</v>
      </c>
      <c r="L84" s="1">
        <v>0</v>
      </c>
      <c r="M84" s="1">
        <v>0</v>
      </c>
    </row>
    <row r="85" spans="1:13" x14ac:dyDescent="0.2">
      <c r="A85" s="1">
        <v>7.35</v>
      </c>
      <c r="B85" s="1">
        <v>8.02</v>
      </c>
      <c r="C85" s="1">
        <v>9.07</v>
      </c>
      <c r="D85" s="1">
        <v>15.000000000000002</v>
      </c>
      <c r="E85" s="1">
        <v>27.5</v>
      </c>
      <c r="F85" s="1">
        <v>28.490000000000002</v>
      </c>
      <c r="G85" s="1">
        <v>7.830000000000001</v>
      </c>
      <c r="H85" s="1">
        <v>1.8600000000000003</v>
      </c>
      <c r="I85" s="1">
        <v>1.0399999999999998</v>
      </c>
      <c r="J85" s="1">
        <v>1.1000000000000001</v>
      </c>
      <c r="K85" s="1">
        <v>0.04</v>
      </c>
      <c r="L85" s="1">
        <v>0</v>
      </c>
      <c r="M85" s="1">
        <v>0</v>
      </c>
    </row>
    <row r="86" spans="1:13" x14ac:dyDescent="0.2">
      <c r="A86" s="1">
        <v>7.4</v>
      </c>
      <c r="B86" s="1">
        <v>8.7299999999999986</v>
      </c>
      <c r="C86" s="1">
        <v>9.8500000000000014</v>
      </c>
      <c r="D86" s="1">
        <v>16.049999999999997</v>
      </c>
      <c r="E86" s="1">
        <v>27.919999999999998</v>
      </c>
      <c r="F86" s="1">
        <v>26.720000000000002</v>
      </c>
      <c r="G86" s="1">
        <v>7.72</v>
      </c>
      <c r="H86" s="1">
        <v>1.85</v>
      </c>
      <c r="I86" s="1">
        <v>1.01</v>
      </c>
      <c r="J86" s="1">
        <v>0.16000000000000003</v>
      </c>
      <c r="K86" s="1">
        <v>0</v>
      </c>
      <c r="L86" s="1">
        <v>0</v>
      </c>
      <c r="M86" s="1">
        <v>0</v>
      </c>
    </row>
    <row r="87" spans="1:13" x14ac:dyDescent="0.2">
      <c r="A87" s="1">
        <v>7.45</v>
      </c>
      <c r="B87" s="1">
        <v>8.65</v>
      </c>
      <c r="C87" s="1">
        <v>9.73</v>
      </c>
      <c r="D87" s="1">
        <v>15.89</v>
      </c>
      <c r="E87" s="1">
        <v>28.09</v>
      </c>
      <c r="F87" s="1">
        <v>27.5</v>
      </c>
      <c r="G87" s="1">
        <v>8.89</v>
      </c>
      <c r="H87" s="1">
        <v>1.26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</row>
    <row r="88" spans="1:13" x14ac:dyDescent="0.2">
      <c r="A88" s="1">
        <v>7.5</v>
      </c>
      <c r="B88" s="1">
        <v>8.34</v>
      </c>
      <c r="C88" s="1">
        <v>9.2200000000000006</v>
      </c>
      <c r="D88" s="1">
        <v>15.15</v>
      </c>
      <c r="E88" s="1">
        <v>28.66</v>
      </c>
      <c r="F88" s="1">
        <v>26.010000000000005</v>
      </c>
      <c r="G88" s="1">
        <v>6.4499999999999993</v>
      </c>
      <c r="H88" s="1">
        <v>2.19</v>
      </c>
      <c r="I88" s="1">
        <v>1.49</v>
      </c>
      <c r="J88" s="1">
        <v>1.69</v>
      </c>
      <c r="K88" s="1">
        <v>0.77</v>
      </c>
      <c r="L88" s="1">
        <v>0</v>
      </c>
      <c r="M88" s="1">
        <v>0</v>
      </c>
    </row>
    <row r="89" spans="1:13" x14ac:dyDescent="0.2">
      <c r="A89" s="1">
        <v>7.55</v>
      </c>
      <c r="B89" s="1">
        <v>8.15</v>
      </c>
      <c r="C89" s="1">
        <v>9.27</v>
      </c>
      <c r="D89" s="1">
        <v>15.009999999999998</v>
      </c>
      <c r="E89" s="1">
        <v>31.060000000000002</v>
      </c>
      <c r="F89" s="1">
        <v>27.55</v>
      </c>
      <c r="G89" s="1">
        <v>7.71</v>
      </c>
      <c r="H89" s="1">
        <v>1.24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</row>
    <row r="90" spans="1:13" x14ac:dyDescent="0.2">
      <c r="A90" s="1">
        <v>7.6</v>
      </c>
      <c r="B90" s="1">
        <v>8.0699999999999985</v>
      </c>
      <c r="C90" s="1">
        <v>8.77</v>
      </c>
      <c r="D90" s="1">
        <v>14.39</v>
      </c>
      <c r="E90" s="1">
        <v>31.549999999999997</v>
      </c>
      <c r="F90" s="1">
        <v>28.599999999999998</v>
      </c>
      <c r="G90" s="1">
        <v>6.7399999999999993</v>
      </c>
      <c r="H90" s="1">
        <v>1.7699999999999998</v>
      </c>
      <c r="I90" s="1">
        <v>9.9999999999999992E-2</v>
      </c>
      <c r="J90" s="1">
        <v>0</v>
      </c>
      <c r="K90" s="1">
        <v>0</v>
      </c>
      <c r="L90" s="1">
        <v>0</v>
      </c>
      <c r="M90" s="1">
        <v>0</v>
      </c>
    </row>
    <row r="91" spans="1:13" x14ac:dyDescent="0.2">
      <c r="A91" s="1">
        <v>7.65</v>
      </c>
      <c r="B91" s="1">
        <v>7.7</v>
      </c>
      <c r="C91" s="1">
        <v>9.49</v>
      </c>
      <c r="D91" s="1">
        <v>14.49</v>
      </c>
      <c r="E91" s="1">
        <v>30.590000000000003</v>
      </c>
      <c r="F91" s="1">
        <v>28.689999999999998</v>
      </c>
      <c r="G91" s="1">
        <v>6.7499999999999991</v>
      </c>
      <c r="H91" s="1">
        <v>2.1800000000000002</v>
      </c>
      <c r="I91" s="1">
        <v>0.11</v>
      </c>
      <c r="J91" s="1">
        <v>0</v>
      </c>
      <c r="K91" s="1">
        <v>0</v>
      </c>
      <c r="L91" s="1">
        <v>0</v>
      </c>
      <c r="M91" s="1">
        <v>0</v>
      </c>
    </row>
    <row r="92" spans="1:13" x14ac:dyDescent="0.2">
      <c r="A92" s="1">
        <v>7.7</v>
      </c>
      <c r="B92" s="1">
        <v>8.23</v>
      </c>
      <c r="C92" s="1">
        <v>8.9600000000000009</v>
      </c>
      <c r="D92" s="1">
        <v>14.81</v>
      </c>
      <c r="E92" s="1">
        <v>33.309999999999995</v>
      </c>
      <c r="F92" s="1">
        <v>28.59</v>
      </c>
      <c r="G92" s="1">
        <v>4.6599999999999993</v>
      </c>
      <c r="H92" s="1">
        <v>1.24</v>
      </c>
      <c r="I92" s="1">
        <v>0.19</v>
      </c>
      <c r="J92" s="1">
        <v>0</v>
      </c>
      <c r="K92" s="1">
        <v>0</v>
      </c>
      <c r="L92" s="1">
        <v>0</v>
      </c>
      <c r="M92" s="1">
        <v>0</v>
      </c>
    </row>
    <row r="93" spans="1:13" x14ac:dyDescent="0.2">
      <c r="A93" s="1">
        <v>7.75</v>
      </c>
      <c r="B93" s="1">
        <v>7.6</v>
      </c>
      <c r="C93" s="1">
        <v>8.3000000000000007</v>
      </c>
      <c r="D93" s="1">
        <v>14.28</v>
      </c>
      <c r="E93" s="1">
        <v>31.450000000000003</v>
      </c>
      <c r="F93" s="1">
        <v>29.139999999999997</v>
      </c>
      <c r="G93" s="1">
        <v>8.7899999999999991</v>
      </c>
      <c r="H93" s="1">
        <v>0.45000000000000007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</row>
    <row r="94" spans="1:13" x14ac:dyDescent="0.2">
      <c r="A94" s="1">
        <v>7.8</v>
      </c>
      <c r="B94" s="1">
        <v>7.5799999999999983</v>
      </c>
      <c r="C94" s="1">
        <v>8.93</v>
      </c>
      <c r="D94" s="1">
        <v>14.970000000000002</v>
      </c>
      <c r="E94" s="1">
        <v>31.550000000000004</v>
      </c>
      <c r="F94" s="1">
        <v>26.87</v>
      </c>
      <c r="G94" s="1">
        <v>6.27</v>
      </c>
      <c r="H94" s="1">
        <v>1.9699999999999998</v>
      </c>
      <c r="I94" s="1">
        <v>1.22</v>
      </c>
      <c r="J94" s="1">
        <v>0.62000000000000011</v>
      </c>
      <c r="K94" s="1">
        <v>0.06</v>
      </c>
      <c r="L94" s="1">
        <v>0</v>
      </c>
      <c r="M94" s="1">
        <v>0</v>
      </c>
    </row>
    <row r="95" spans="1:13" x14ac:dyDescent="0.2">
      <c r="A95" s="1">
        <v>7.85</v>
      </c>
      <c r="B95" s="1">
        <v>7.3100000000000005</v>
      </c>
      <c r="C95" s="1">
        <v>7.72</v>
      </c>
      <c r="D95" s="1">
        <v>14.39</v>
      </c>
      <c r="E95" s="1">
        <v>33.29</v>
      </c>
      <c r="F95" s="1">
        <v>29.68</v>
      </c>
      <c r="G95" s="1">
        <v>7.3199999999999994</v>
      </c>
      <c r="H95" s="1">
        <v>0.26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</row>
    <row r="96" spans="1:13" x14ac:dyDescent="0.2">
      <c r="A96" s="1">
        <v>7.9</v>
      </c>
      <c r="B96" s="1">
        <v>7.41</v>
      </c>
      <c r="C96" s="1">
        <v>7.93</v>
      </c>
      <c r="D96" s="1">
        <v>14.57</v>
      </c>
      <c r="E96" s="1">
        <v>32.85</v>
      </c>
      <c r="F96" s="1">
        <v>29.240000000000002</v>
      </c>
      <c r="G96" s="1">
        <v>6.72</v>
      </c>
      <c r="H96" s="1">
        <v>1.29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</row>
    <row r="97" spans="1:13" x14ac:dyDescent="0.2">
      <c r="A97" s="1">
        <v>7.95</v>
      </c>
      <c r="B97" s="1">
        <v>7.4</v>
      </c>
      <c r="C97" s="1">
        <v>7.91</v>
      </c>
      <c r="D97" s="1">
        <v>14.52</v>
      </c>
      <c r="E97" s="1">
        <v>30.840000000000003</v>
      </c>
      <c r="F97" s="1">
        <v>27.87</v>
      </c>
      <c r="G97" s="1">
        <v>8.56</v>
      </c>
      <c r="H97" s="1">
        <v>2.86</v>
      </c>
      <c r="I97" s="1">
        <v>0.04</v>
      </c>
      <c r="J97" s="1">
        <v>0</v>
      </c>
      <c r="K97" s="1">
        <v>0</v>
      </c>
      <c r="L97" s="1">
        <v>0</v>
      </c>
      <c r="M97" s="1">
        <v>0</v>
      </c>
    </row>
    <row r="98" spans="1:13" x14ac:dyDescent="0.2">
      <c r="A98" s="1">
        <v>8</v>
      </c>
      <c r="B98" s="1">
        <v>7.07</v>
      </c>
      <c r="C98" s="1">
        <v>7.36</v>
      </c>
      <c r="D98" s="1">
        <v>13.19</v>
      </c>
      <c r="E98" s="1">
        <v>28.93</v>
      </c>
      <c r="F98" s="1">
        <v>30.24</v>
      </c>
      <c r="G98" s="1">
        <v>10.170000000000002</v>
      </c>
      <c r="H98" s="1">
        <v>2.66</v>
      </c>
      <c r="I98" s="1">
        <v>0.38999999999999996</v>
      </c>
      <c r="J98" s="1">
        <v>0</v>
      </c>
      <c r="K98" s="1">
        <v>0</v>
      </c>
      <c r="L98" s="1">
        <v>0</v>
      </c>
      <c r="M98" s="1">
        <v>0</v>
      </c>
    </row>
    <row r="99" spans="1:13" x14ac:dyDescent="0.2">
      <c r="A99" s="1">
        <v>8.15</v>
      </c>
      <c r="B99" s="1">
        <v>6.45</v>
      </c>
      <c r="C99" s="1">
        <v>7.5600000000000005</v>
      </c>
      <c r="D99" s="1">
        <v>11.530000000000001</v>
      </c>
      <c r="E99" s="1">
        <v>30.18</v>
      </c>
      <c r="F99" s="1">
        <v>33.56</v>
      </c>
      <c r="G99" s="1">
        <v>8.2200000000000006</v>
      </c>
      <c r="H99" s="1">
        <v>2.1800000000000002</v>
      </c>
      <c r="I99" s="1">
        <v>0.29000000000000004</v>
      </c>
      <c r="J99" s="1">
        <v>0</v>
      </c>
      <c r="K99" s="1">
        <v>0</v>
      </c>
      <c r="L99" s="1">
        <v>0</v>
      </c>
      <c r="M99" s="1">
        <v>0</v>
      </c>
    </row>
    <row r="100" spans="1:13" x14ac:dyDescent="0.2">
      <c r="A100" s="1">
        <v>8.1999999999999993</v>
      </c>
      <c r="B100" s="1">
        <v>7.0499999999999989</v>
      </c>
      <c r="C100" s="1">
        <v>7.62</v>
      </c>
      <c r="D100" s="1">
        <v>13.57</v>
      </c>
      <c r="E100" s="1">
        <v>31.57</v>
      </c>
      <c r="F100" s="1">
        <v>29.56</v>
      </c>
      <c r="G100" s="1">
        <v>8.1</v>
      </c>
      <c r="H100" s="1">
        <v>2.1799999999999997</v>
      </c>
      <c r="I100" s="1">
        <v>0.28000000000000003</v>
      </c>
      <c r="J100" s="1">
        <v>0.04</v>
      </c>
      <c r="K100" s="1">
        <v>0</v>
      </c>
      <c r="L100" s="1">
        <v>0</v>
      </c>
      <c r="M100" s="1">
        <v>0</v>
      </c>
    </row>
    <row r="101" spans="1:13" x14ac:dyDescent="0.2">
      <c r="A101" s="1">
        <v>8.3000000000000007</v>
      </c>
      <c r="B101" s="1">
        <v>9.0500000000000007</v>
      </c>
      <c r="C101" s="1">
        <v>9.5100000000000016</v>
      </c>
      <c r="D101" s="1">
        <v>14.93</v>
      </c>
      <c r="E101" s="1">
        <v>30.76</v>
      </c>
      <c r="F101" s="1">
        <v>28.610000000000003</v>
      </c>
      <c r="G101" s="1">
        <v>4.9000000000000004</v>
      </c>
      <c r="H101" s="1">
        <v>1.22</v>
      </c>
      <c r="I101" s="1">
        <v>0.99</v>
      </c>
      <c r="J101" s="1">
        <v>6.0000000000000005E-2</v>
      </c>
      <c r="K101" s="1">
        <v>0</v>
      </c>
      <c r="L101" s="1">
        <v>0</v>
      </c>
      <c r="M101" s="1">
        <v>0</v>
      </c>
    </row>
    <row r="102" spans="1:13" x14ac:dyDescent="0.2">
      <c r="A102" s="1">
        <v>8.4</v>
      </c>
      <c r="B102" s="1">
        <v>7.75</v>
      </c>
      <c r="C102" s="1">
        <v>8.75</v>
      </c>
      <c r="D102" s="1">
        <v>14.68</v>
      </c>
      <c r="E102" s="1">
        <v>31.340000000000003</v>
      </c>
      <c r="F102" s="1">
        <v>27.700000000000003</v>
      </c>
      <c r="G102" s="1">
        <v>7.7799999999999994</v>
      </c>
      <c r="H102" s="1">
        <v>1.8599999999999999</v>
      </c>
      <c r="I102" s="1">
        <v>0.14000000000000001</v>
      </c>
      <c r="J102" s="1">
        <v>0</v>
      </c>
      <c r="K102" s="1">
        <v>0</v>
      </c>
      <c r="L102" s="1">
        <v>0</v>
      </c>
      <c r="M102" s="1">
        <v>0</v>
      </c>
    </row>
    <row r="103" spans="1:13" x14ac:dyDescent="0.2">
      <c r="A103" s="1">
        <v>8.5</v>
      </c>
      <c r="B103" s="1">
        <v>8.1000000000000014</v>
      </c>
      <c r="C103" s="1">
        <v>8.4499999999999993</v>
      </c>
      <c r="D103" s="1">
        <v>18.47</v>
      </c>
      <c r="E103" s="1">
        <v>31.839999999999996</v>
      </c>
      <c r="F103" s="1">
        <v>23.82</v>
      </c>
      <c r="G103" s="1">
        <v>7.24</v>
      </c>
      <c r="H103" s="1">
        <v>1.81</v>
      </c>
      <c r="I103" s="1">
        <v>0.26</v>
      </c>
      <c r="J103" s="1">
        <v>0</v>
      </c>
      <c r="K103" s="1">
        <v>0</v>
      </c>
      <c r="L103" s="1">
        <v>0</v>
      </c>
      <c r="M103" s="1">
        <v>0</v>
      </c>
    </row>
    <row r="104" spans="1:13" x14ac:dyDescent="0.2">
      <c r="A104" s="1">
        <v>8.6</v>
      </c>
      <c r="B104" s="1">
        <v>5.03</v>
      </c>
      <c r="C104" s="1">
        <v>4.9399999999999995</v>
      </c>
      <c r="D104" s="1">
        <v>15.51</v>
      </c>
      <c r="E104" s="1">
        <v>32.35</v>
      </c>
      <c r="F104" s="1">
        <v>28.2</v>
      </c>
      <c r="G104" s="1">
        <v>10.350000000000001</v>
      </c>
      <c r="H104" s="1">
        <v>3.18</v>
      </c>
      <c r="I104" s="1">
        <v>0.45</v>
      </c>
      <c r="J104" s="1">
        <v>0</v>
      </c>
      <c r="K104" s="1">
        <v>0</v>
      </c>
      <c r="L104" s="1">
        <v>0</v>
      </c>
      <c r="M104" s="1">
        <v>0</v>
      </c>
    </row>
    <row r="105" spans="1:13" x14ac:dyDescent="0.2">
      <c r="A105" s="1">
        <v>8.6999999999999993</v>
      </c>
      <c r="B105" s="1">
        <v>7.4700000000000006</v>
      </c>
      <c r="C105" s="1">
        <v>7.46</v>
      </c>
      <c r="D105" s="1">
        <v>20.25</v>
      </c>
      <c r="E105" s="1">
        <v>32.230000000000004</v>
      </c>
      <c r="F105" s="1">
        <v>23.54</v>
      </c>
      <c r="G105" s="1">
        <v>7.1</v>
      </c>
      <c r="H105" s="1">
        <v>1.64</v>
      </c>
      <c r="I105" s="1">
        <v>0.3</v>
      </c>
      <c r="J105" s="1">
        <v>0</v>
      </c>
      <c r="K105" s="1">
        <v>0</v>
      </c>
      <c r="L105" s="1">
        <v>0</v>
      </c>
      <c r="M105" s="1">
        <v>0</v>
      </c>
    </row>
    <row r="106" spans="1:13" x14ac:dyDescent="0.2">
      <c r="A106" s="1">
        <v>8.8000000000000007</v>
      </c>
      <c r="B106" s="1">
        <v>8.2200000000000006</v>
      </c>
      <c r="C106" s="1">
        <v>8.8699999999999992</v>
      </c>
      <c r="D106" s="1">
        <v>18.23</v>
      </c>
      <c r="E106" s="1">
        <v>32.99</v>
      </c>
      <c r="F106" s="1">
        <v>24.37</v>
      </c>
      <c r="G106" s="1">
        <v>5.5</v>
      </c>
      <c r="H106" s="1">
        <v>1.51</v>
      </c>
      <c r="I106" s="1">
        <v>0.31</v>
      </c>
      <c r="J106" s="1">
        <v>0</v>
      </c>
      <c r="K106" s="1">
        <v>0</v>
      </c>
      <c r="L106" s="1">
        <v>0</v>
      </c>
      <c r="M106" s="1">
        <v>0</v>
      </c>
    </row>
    <row r="107" spans="1:13" x14ac:dyDescent="0.2">
      <c r="A107" s="1">
        <v>8.9</v>
      </c>
      <c r="B107" s="1">
        <v>6.15</v>
      </c>
      <c r="C107" s="1">
        <v>6.78</v>
      </c>
      <c r="D107" s="1">
        <v>14.02</v>
      </c>
      <c r="E107" s="1">
        <v>33.480000000000004</v>
      </c>
      <c r="F107" s="1">
        <v>28.560000000000002</v>
      </c>
      <c r="G107" s="1">
        <v>6.7899999999999991</v>
      </c>
      <c r="H107" s="1">
        <v>2.83</v>
      </c>
      <c r="I107" s="1">
        <v>1.3399999999999999</v>
      </c>
      <c r="J107" s="1">
        <v>6.0000000000000005E-2</v>
      </c>
      <c r="K107" s="1">
        <v>0</v>
      </c>
      <c r="L107" s="1">
        <v>0</v>
      </c>
      <c r="M107" s="1">
        <v>0</v>
      </c>
    </row>
    <row r="108" spans="1:13" x14ac:dyDescent="0.2">
      <c r="A108" s="1">
        <v>9</v>
      </c>
      <c r="B108" s="1">
        <v>8.32</v>
      </c>
      <c r="C108" s="1">
        <v>8.9700000000000006</v>
      </c>
      <c r="D108" s="1">
        <v>17.920000000000002</v>
      </c>
      <c r="E108" s="1">
        <v>32.550000000000004</v>
      </c>
      <c r="F108" s="1">
        <v>24.06</v>
      </c>
      <c r="G108" s="1">
        <v>6.19</v>
      </c>
      <c r="H108" s="1">
        <v>1.78</v>
      </c>
      <c r="I108" s="1">
        <v>0.25</v>
      </c>
      <c r="J108" s="1">
        <v>0</v>
      </c>
      <c r="K108" s="1">
        <v>0</v>
      </c>
      <c r="L108" s="1">
        <v>0</v>
      </c>
      <c r="M108" s="1">
        <v>0</v>
      </c>
    </row>
    <row r="109" spans="1:13" x14ac:dyDescent="0.2">
      <c r="A109" s="1">
        <v>9.15</v>
      </c>
      <c r="B109" s="1">
        <v>8.93</v>
      </c>
      <c r="C109" s="1">
        <v>9.43</v>
      </c>
      <c r="D109" s="1">
        <v>18.420000000000002</v>
      </c>
      <c r="E109" s="1">
        <v>30.259999999999998</v>
      </c>
      <c r="F109" s="1">
        <v>22.72</v>
      </c>
      <c r="G109" s="1">
        <v>7.870000000000001</v>
      </c>
      <c r="H109" s="1">
        <v>2.0500000000000003</v>
      </c>
      <c r="I109" s="1">
        <v>0.32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2">
      <c r="A110" s="1">
        <v>9.1999999999999993</v>
      </c>
      <c r="B110" s="1">
        <v>9.3999999999999986</v>
      </c>
      <c r="C110" s="1">
        <v>10.569999999999999</v>
      </c>
      <c r="D110" s="1">
        <v>19.02</v>
      </c>
      <c r="E110" s="1">
        <v>30</v>
      </c>
      <c r="F110" s="1">
        <v>22.549999999999997</v>
      </c>
      <c r="G110" s="1">
        <v>6.38</v>
      </c>
      <c r="H110" s="1">
        <v>1.84</v>
      </c>
      <c r="I110" s="1">
        <v>0.24000000000000002</v>
      </c>
      <c r="J110" s="1">
        <v>0</v>
      </c>
      <c r="K110" s="1">
        <v>0</v>
      </c>
      <c r="L110" s="1">
        <v>0</v>
      </c>
      <c r="M110" s="1">
        <v>0</v>
      </c>
    </row>
    <row r="111" spans="1:13" x14ac:dyDescent="0.2">
      <c r="A111" s="1">
        <v>9.3000000000000007</v>
      </c>
      <c r="B111" s="1">
        <v>9.75</v>
      </c>
      <c r="C111" s="1">
        <v>10.749999999999998</v>
      </c>
      <c r="D111" s="1">
        <v>19.84</v>
      </c>
      <c r="E111" s="1">
        <v>31.689999999999998</v>
      </c>
      <c r="F111" s="1">
        <v>21.439999999999998</v>
      </c>
      <c r="G111" s="1">
        <v>4.8600000000000003</v>
      </c>
      <c r="H111" s="1">
        <v>1.6</v>
      </c>
      <c r="I111" s="1">
        <v>0.06</v>
      </c>
      <c r="J111" s="1">
        <v>0</v>
      </c>
      <c r="K111" s="1">
        <v>0</v>
      </c>
      <c r="L111" s="1">
        <v>0</v>
      </c>
      <c r="M111" s="1">
        <v>0</v>
      </c>
    </row>
    <row r="112" spans="1:13" x14ac:dyDescent="0.2">
      <c r="A112" s="1">
        <v>9.4</v>
      </c>
      <c r="B112" s="1">
        <v>7.0299999999999994</v>
      </c>
      <c r="C112" s="1">
        <v>7.6</v>
      </c>
      <c r="D112" s="1">
        <v>17.18</v>
      </c>
      <c r="E112" s="1">
        <v>34.9</v>
      </c>
      <c r="F112" s="1">
        <v>26.28</v>
      </c>
      <c r="G112" s="1">
        <v>6</v>
      </c>
      <c r="H112" s="1">
        <v>0.96999999999999986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</row>
    <row r="113" spans="1:13" x14ac:dyDescent="0.2">
      <c r="A113" s="1">
        <v>9.5</v>
      </c>
      <c r="B113" s="1">
        <v>8.84</v>
      </c>
      <c r="C113" s="1">
        <v>9.66</v>
      </c>
      <c r="D113" s="1">
        <v>18.48</v>
      </c>
      <c r="E113" s="1">
        <v>32.19</v>
      </c>
      <c r="F113" s="1">
        <v>23.159999999999997</v>
      </c>
      <c r="G113" s="1">
        <v>5.51</v>
      </c>
      <c r="H113" s="1">
        <v>1.7999999999999998</v>
      </c>
      <c r="I113" s="1">
        <v>0.35</v>
      </c>
      <c r="J113" s="1">
        <v>0</v>
      </c>
      <c r="K113" s="1">
        <v>0</v>
      </c>
      <c r="L113" s="1">
        <v>0</v>
      </c>
      <c r="M113" s="1">
        <v>0</v>
      </c>
    </row>
    <row r="114" spans="1:13" x14ac:dyDescent="0.2">
      <c r="A114" s="1">
        <v>9.6</v>
      </c>
      <c r="B114" s="1">
        <v>8.9</v>
      </c>
      <c r="C114" s="1">
        <v>10.02</v>
      </c>
      <c r="D114" s="1">
        <v>17.529999999999998</v>
      </c>
      <c r="E114" s="1">
        <v>30.72</v>
      </c>
      <c r="F114" s="1">
        <v>24.24</v>
      </c>
      <c r="G114" s="1">
        <v>5.91</v>
      </c>
      <c r="H114" s="1">
        <v>2.04</v>
      </c>
      <c r="I114" s="1">
        <v>0.63000000000000012</v>
      </c>
      <c r="J114" s="1">
        <v>0</v>
      </c>
      <c r="K114" s="1">
        <v>0</v>
      </c>
      <c r="L114" s="1">
        <v>0</v>
      </c>
      <c r="M114" s="1">
        <v>0</v>
      </c>
    </row>
    <row r="115" spans="1:13" x14ac:dyDescent="0.2">
      <c r="A115" s="1">
        <v>9.6999999999999993</v>
      </c>
      <c r="B115" s="1">
        <v>7.61</v>
      </c>
      <c r="C115" s="1">
        <v>8.9</v>
      </c>
      <c r="D115" s="1">
        <v>15.27</v>
      </c>
      <c r="E115" s="1">
        <v>30.32</v>
      </c>
      <c r="F115" s="1">
        <v>26.41</v>
      </c>
      <c r="G115" s="1">
        <v>8.2099999999999991</v>
      </c>
      <c r="H115" s="1">
        <v>3.2</v>
      </c>
      <c r="I115" s="1">
        <v>0.05</v>
      </c>
      <c r="J115" s="1">
        <v>0</v>
      </c>
      <c r="K115" s="1">
        <v>0</v>
      </c>
      <c r="L115" s="1">
        <v>0</v>
      </c>
      <c r="M115" s="1">
        <v>0</v>
      </c>
    </row>
    <row r="116" spans="1:13" x14ac:dyDescent="0.2">
      <c r="A116" s="1">
        <v>9.8000000000000007</v>
      </c>
      <c r="B116" s="1">
        <v>7.91</v>
      </c>
      <c r="C116" s="1">
        <v>8.2899999999999991</v>
      </c>
      <c r="D116" s="1">
        <v>16.48</v>
      </c>
      <c r="E116" s="1">
        <v>33.879999999999995</v>
      </c>
      <c r="F116" s="1">
        <v>24.89</v>
      </c>
      <c r="G116" s="1">
        <v>6.23</v>
      </c>
      <c r="H116" s="1">
        <v>1.8099999999999998</v>
      </c>
      <c r="I116" s="1">
        <v>0.38999999999999996</v>
      </c>
      <c r="J116" s="1">
        <v>0.1</v>
      </c>
      <c r="K116" s="1">
        <v>0</v>
      </c>
      <c r="L116" s="1">
        <v>0</v>
      </c>
      <c r="M116" s="1">
        <v>0</v>
      </c>
    </row>
    <row r="117" spans="1:13" x14ac:dyDescent="0.2">
      <c r="A117" s="1">
        <v>9.9</v>
      </c>
      <c r="B117" s="1">
        <v>9.84</v>
      </c>
      <c r="C117" s="1">
        <v>10.54</v>
      </c>
      <c r="D117" s="1">
        <v>18.14</v>
      </c>
      <c r="E117" s="1">
        <v>30.98</v>
      </c>
      <c r="F117" s="1">
        <v>22.980000000000004</v>
      </c>
      <c r="G117" s="1">
        <v>5.67</v>
      </c>
      <c r="H117" s="1">
        <v>1.59</v>
      </c>
      <c r="I117" s="1">
        <v>0.26</v>
      </c>
      <c r="J117" s="1">
        <v>0</v>
      </c>
      <c r="K117" s="1">
        <v>0</v>
      </c>
      <c r="L117" s="1">
        <v>0</v>
      </c>
      <c r="M117" s="1">
        <v>0</v>
      </c>
    </row>
    <row r="118" spans="1:13" x14ac:dyDescent="0.2">
      <c r="A118" s="1">
        <v>10</v>
      </c>
      <c r="B118" s="1">
        <v>8.76</v>
      </c>
      <c r="C118" s="1">
        <v>8.84</v>
      </c>
      <c r="D118" s="1">
        <v>18.62</v>
      </c>
      <c r="E118" s="1">
        <v>32.46</v>
      </c>
      <c r="F118" s="1">
        <v>23.49</v>
      </c>
      <c r="G118" s="1">
        <v>5.93</v>
      </c>
      <c r="H118" s="1">
        <v>1.59</v>
      </c>
      <c r="I118" s="1">
        <v>0.3</v>
      </c>
      <c r="J118" s="1">
        <v>0</v>
      </c>
      <c r="K118" s="1">
        <v>0</v>
      </c>
      <c r="L118" s="1">
        <v>0</v>
      </c>
      <c r="M118" s="1">
        <v>0</v>
      </c>
    </row>
    <row r="119" spans="1:13" x14ac:dyDescent="0.2">
      <c r="A119" s="1">
        <v>10.050000000000001</v>
      </c>
      <c r="B119" s="1">
        <v>9.73</v>
      </c>
      <c r="C119" s="1">
        <v>10.43</v>
      </c>
      <c r="D119" s="1">
        <v>20.25</v>
      </c>
      <c r="E119" s="1">
        <v>31.32</v>
      </c>
      <c r="F119" s="1">
        <v>21.11</v>
      </c>
      <c r="G119" s="1">
        <v>5.3</v>
      </c>
      <c r="H119" s="1">
        <v>1.6</v>
      </c>
      <c r="I119" s="1">
        <v>0.28000000000000003</v>
      </c>
      <c r="J119" s="1">
        <v>0</v>
      </c>
      <c r="K119" s="1">
        <v>0</v>
      </c>
      <c r="L119" s="1">
        <v>0</v>
      </c>
      <c r="M119" s="1">
        <v>0</v>
      </c>
    </row>
    <row r="120" spans="1:13" x14ac:dyDescent="0.2">
      <c r="A120" s="1">
        <v>10.25</v>
      </c>
      <c r="B120" s="1">
        <v>8.9699999999999989</v>
      </c>
      <c r="C120" s="1">
        <v>9.0400000000000009</v>
      </c>
      <c r="D120" s="1">
        <v>18.850000000000001</v>
      </c>
      <c r="E120" s="1">
        <v>31.9</v>
      </c>
      <c r="F120" s="1">
        <v>23.14</v>
      </c>
      <c r="G120" s="1">
        <v>6.2600000000000007</v>
      </c>
      <c r="H120" s="1">
        <v>1.5599999999999998</v>
      </c>
      <c r="I120" s="1">
        <v>0.26</v>
      </c>
      <c r="J120" s="1">
        <v>0</v>
      </c>
      <c r="K120" s="1">
        <v>0</v>
      </c>
      <c r="L120" s="1">
        <v>0</v>
      </c>
      <c r="M120" s="1">
        <v>0</v>
      </c>
    </row>
    <row r="121" spans="1:13" x14ac:dyDescent="0.2">
      <c r="A121" s="1">
        <v>10.3</v>
      </c>
      <c r="B121" s="1">
        <v>7.669999999999999</v>
      </c>
      <c r="C121" s="1">
        <v>7.75</v>
      </c>
      <c r="D121" s="1">
        <v>17.29</v>
      </c>
      <c r="E121" s="1">
        <v>35</v>
      </c>
      <c r="F121" s="1">
        <v>23.84</v>
      </c>
      <c r="G121" s="1">
        <v>5.9700000000000006</v>
      </c>
      <c r="H121" s="1">
        <v>2.0300000000000002</v>
      </c>
      <c r="I121" s="1">
        <v>0.43000000000000005</v>
      </c>
      <c r="J121" s="1">
        <v>0</v>
      </c>
      <c r="K121" s="1">
        <v>0</v>
      </c>
      <c r="L121" s="1">
        <v>0</v>
      </c>
      <c r="M121" s="1">
        <v>0</v>
      </c>
    </row>
    <row r="122" spans="1:13" x14ac:dyDescent="0.2">
      <c r="A122" s="1">
        <v>10.4</v>
      </c>
      <c r="B122" s="1">
        <v>10.049999999999999</v>
      </c>
      <c r="C122" s="1">
        <v>10.24</v>
      </c>
      <c r="D122" s="1">
        <v>19.78</v>
      </c>
      <c r="E122" s="1">
        <v>31.32</v>
      </c>
      <c r="F122" s="1">
        <v>20.86</v>
      </c>
      <c r="G122" s="1">
        <v>5.88</v>
      </c>
      <c r="H122" s="1">
        <v>1.66</v>
      </c>
      <c r="I122" s="1">
        <v>0.24</v>
      </c>
      <c r="J122" s="1">
        <v>0</v>
      </c>
      <c r="K122" s="1">
        <v>0</v>
      </c>
      <c r="L122" s="1">
        <v>0</v>
      </c>
      <c r="M122" s="1">
        <v>0</v>
      </c>
    </row>
    <row r="123" spans="1:13" x14ac:dyDescent="0.2">
      <c r="A123" s="1">
        <v>10.5</v>
      </c>
      <c r="B123" s="1">
        <v>7.12</v>
      </c>
      <c r="C123" s="1">
        <v>6.85</v>
      </c>
      <c r="D123" s="1">
        <v>17.229999999999997</v>
      </c>
      <c r="E123" s="1">
        <v>32.840000000000003</v>
      </c>
      <c r="F123" s="1">
        <v>24.6</v>
      </c>
      <c r="G123" s="1">
        <v>8.67</v>
      </c>
      <c r="H123" s="1">
        <v>2.42</v>
      </c>
      <c r="I123" s="1">
        <v>0.30000000000000004</v>
      </c>
      <c r="J123" s="1">
        <v>0</v>
      </c>
      <c r="K123" s="1">
        <v>0</v>
      </c>
      <c r="L123" s="1">
        <v>0</v>
      </c>
      <c r="M123" s="1">
        <v>0</v>
      </c>
    </row>
    <row r="124" spans="1:13" x14ac:dyDescent="0.2">
      <c r="A124" s="1">
        <v>10.6</v>
      </c>
      <c r="B124" s="1">
        <v>9.32</v>
      </c>
      <c r="C124" s="1">
        <v>9.5599999999999987</v>
      </c>
      <c r="D124" s="1">
        <v>20.2</v>
      </c>
      <c r="E124" s="1">
        <v>31.039999999999996</v>
      </c>
      <c r="F124" s="1">
        <v>20.990000000000002</v>
      </c>
      <c r="G124" s="1">
        <v>6.62</v>
      </c>
      <c r="H124" s="1">
        <v>1.98</v>
      </c>
      <c r="I124" s="1">
        <v>0.3</v>
      </c>
      <c r="J124" s="1">
        <v>0</v>
      </c>
      <c r="K124" s="1">
        <v>0</v>
      </c>
      <c r="L124" s="1">
        <v>0</v>
      </c>
      <c r="M124" s="1">
        <v>0</v>
      </c>
    </row>
    <row r="125" spans="1:13" x14ac:dyDescent="0.2">
      <c r="A125" s="1">
        <v>10.7</v>
      </c>
      <c r="B125" s="1">
        <v>7.5699999999999994</v>
      </c>
      <c r="C125" s="1">
        <v>6.8900000000000006</v>
      </c>
      <c r="D125" s="1">
        <v>17.11</v>
      </c>
      <c r="E125" s="1">
        <v>30.650000000000002</v>
      </c>
      <c r="F125" s="1">
        <v>24.65</v>
      </c>
      <c r="G125" s="1">
        <v>10.53</v>
      </c>
      <c r="H125" s="1">
        <v>2.5599999999999996</v>
      </c>
      <c r="I125" s="1">
        <v>0.05</v>
      </c>
      <c r="J125" s="1">
        <v>0</v>
      </c>
      <c r="K125" s="1">
        <v>0</v>
      </c>
      <c r="L125" s="1">
        <v>0</v>
      </c>
      <c r="M125" s="1">
        <v>0</v>
      </c>
    </row>
    <row r="126" spans="1:13" x14ac:dyDescent="0.2">
      <c r="A126" s="1">
        <v>10.8</v>
      </c>
      <c r="B126" s="1">
        <v>7.2200000000000006</v>
      </c>
      <c r="C126" s="1">
        <v>6.2200000000000006</v>
      </c>
      <c r="D126" s="1">
        <v>18.86</v>
      </c>
      <c r="E126" s="1">
        <v>33.83</v>
      </c>
      <c r="F126" s="1">
        <v>23.32</v>
      </c>
      <c r="G126" s="1">
        <v>8.2700000000000014</v>
      </c>
      <c r="H126" s="1">
        <v>2.14</v>
      </c>
      <c r="I126" s="1">
        <v>0.13</v>
      </c>
      <c r="J126" s="1">
        <v>0</v>
      </c>
      <c r="K126" s="1">
        <v>0</v>
      </c>
      <c r="L126" s="1">
        <v>0</v>
      </c>
      <c r="M126" s="1">
        <v>0</v>
      </c>
    </row>
    <row r="127" spans="1:13" x14ac:dyDescent="0.2">
      <c r="A127" s="1">
        <v>10.9</v>
      </c>
      <c r="B127" s="1">
        <v>8.5</v>
      </c>
      <c r="C127" s="1">
        <v>8.1999999999999993</v>
      </c>
      <c r="D127" s="1">
        <v>20.29</v>
      </c>
      <c r="E127" s="1">
        <v>32.58</v>
      </c>
      <c r="F127" s="1">
        <v>20.630000000000003</v>
      </c>
      <c r="G127" s="1">
        <v>6.72</v>
      </c>
      <c r="H127" s="1">
        <v>2.2399999999999998</v>
      </c>
      <c r="I127" s="1">
        <v>0.72</v>
      </c>
      <c r="J127" s="1">
        <v>0.12000000000000001</v>
      </c>
      <c r="K127" s="1">
        <v>0</v>
      </c>
      <c r="L127" s="1">
        <v>0</v>
      </c>
      <c r="M127" s="1">
        <v>0</v>
      </c>
    </row>
    <row r="128" spans="1:13" x14ac:dyDescent="0.2">
      <c r="A128" s="1">
        <v>11</v>
      </c>
      <c r="B128" s="1">
        <v>7.42</v>
      </c>
      <c r="C128" s="1">
        <v>6.82</v>
      </c>
      <c r="D128" s="1">
        <v>18.03</v>
      </c>
      <c r="E128" s="1">
        <v>32.229999999999997</v>
      </c>
      <c r="F128" s="1">
        <v>23.020000000000003</v>
      </c>
      <c r="G128" s="1">
        <v>8.67</v>
      </c>
      <c r="H128" s="1">
        <v>2.9200000000000004</v>
      </c>
      <c r="I128" s="1">
        <v>0.91000000000000014</v>
      </c>
      <c r="J128" s="1">
        <v>0.01</v>
      </c>
      <c r="K128" s="1">
        <v>0</v>
      </c>
      <c r="L128" s="1">
        <v>0</v>
      </c>
      <c r="M128" s="1">
        <v>0</v>
      </c>
    </row>
    <row r="129" spans="1:13" x14ac:dyDescent="0.2">
      <c r="A129" s="1">
        <v>11.05</v>
      </c>
      <c r="B129" s="1">
        <v>7.7999999999999989</v>
      </c>
      <c r="C129" s="1">
        <v>7.2099999999999991</v>
      </c>
      <c r="D129" s="1">
        <v>17.84</v>
      </c>
      <c r="E129" s="1">
        <v>31.909999999999997</v>
      </c>
      <c r="F129" s="1">
        <v>23.68</v>
      </c>
      <c r="G129" s="1">
        <v>8.3500000000000014</v>
      </c>
      <c r="H129" s="1">
        <v>2.4</v>
      </c>
      <c r="I129" s="1">
        <v>0.74</v>
      </c>
      <c r="J129" s="1">
        <v>7.0000000000000007E-2</v>
      </c>
      <c r="K129" s="1">
        <v>0</v>
      </c>
      <c r="L129" s="1">
        <v>0</v>
      </c>
      <c r="M129" s="1">
        <v>0</v>
      </c>
    </row>
    <row r="130" spans="1:13" x14ac:dyDescent="0.2">
      <c r="A130" s="1">
        <v>11.25</v>
      </c>
      <c r="B130" s="1">
        <v>7.71</v>
      </c>
      <c r="C130" s="1">
        <v>7.66</v>
      </c>
      <c r="D130" s="1">
        <v>17.059999999999999</v>
      </c>
      <c r="E130" s="1">
        <v>32.380000000000003</v>
      </c>
      <c r="F130" s="1">
        <v>23.68</v>
      </c>
      <c r="G130" s="1">
        <v>7.93</v>
      </c>
      <c r="H130" s="1">
        <v>2.57</v>
      </c>
      <c r="I130" s="1">
        <v>0.78999999999999992</v>
      </c>
      <c r="J130" s="1">
        <v>0.22</v>
      </c>
      <c r="K130" s="1">
        <v>0</v>
      </c>
      <c r="L130" s="1">
        <v>0</v>
      </c>
      <c r="M130" s="1">
        <v>0</v>
      </c>
    </row>
    <row r="131" spans="1:13" x14ac:dyDescent="0.2">
      <c r="A131" s="1">
        <v>11.3</v>
      </c>
      <c r="B131" s="1">
        <v>6.91</v>
      </c>
      <c r="C131" s="1">
        <v>6.6800000000000006</v>
      </c>
      <c r="D131" s="1">
        <v>16.419999999999998</v>
      </c>
      <c r="E131" s="1">
        <v>33.25</v>
      </c>
      <c r="F131" s="1">
        <v>25.46</v>
      </c>
      <c r="G131" s="1">
        <v>8.6000000000000014</v>
      </c>
      <c r="H131" s="1">
        <v>2.4299999999999997</v>
      </c>
      <c r="I131" s="1">
        <v>0.26</v>
      </c>
      <c r="J131" s="1">
        <v>0</v>
      </c>
      <c r="K131" s="1">
        <v>0</v>
      </c>
      <c r="L131" s="1">
        <v>0</v>
      </c>
      <c r="M131" s="1">
        <v>0</v>
      </c>
    </row>
    <row r="132" spans="1:13" x14ac:dyDescent="0.2">
      <c r="A132" s="1">
        <v>11.4</v>
      </c>
      <c r="B132" s="1">
        <v>7.0600000000000005</v>
      </c>
      <c r="C132" s="1">
        <v>8.42</v>
      </c>
      <c r="D132" s="1">
        <v>17.399999999999999</v>
      </c>
      <c r="E132" s="1">
        <v>30.21</v>
      </c>
      <c r="F132" s="1">
        <v>20.82</v>
      </c>
      <c r="G132" s="1">
        <v>6.8900000000000006</v>
      </c>
      <c r="H132" s="1">
        <v>2.8800000000000003</v>
      </c>
      <c r="I132" s="1">
        <v>2.2399999999999998</v>
      </c>
      <c r="J132" s="1">
        <v>1.95</v>
      </c>
      <c r="K132" s="1">
        <v>1.66</v>
      </c>
      <c r="L132" s="1">
        <v>0.47</v>
      </c>
      <c r="M132" s="1">
        <v>0</v>
      </c>
    </row>
    <row r="133" spans="1:13" x14ac:dyDescent="0.2">
      <c r="A133" s="1">
        <v>11.5</v>
      </c>
      <c r="B133" s="1">
        <v>9.129999999999999</v>
      </c>
      <c r="C133" s="1">
        <v>9.120000000000001</v>
      </c>
      <c r="D133" s="1">
        <v>18.79</v>
      </c>
      <c r="E133" s="1">
        <v>29.87</v>
      </c>
      <c r="F133" s="1">
        <v>21.46</v>
      </c>
      <c r="G133" s="1">
        <v>7.43</v>
      </c>
      <c r="H133" s="1">
        <v>2.65</v>
      </c>
      <c r="I133" s="1">
        <v>1.1000000000000001</v>
      </c>
      <c r="J133" s="1">
        <v>0.43999999999999995</v>
      </c>
      <c r="K133" s="1">
        <v>0.02</v>
      </c>
      <c r="L133" s="1">
        <v>0</v>
      </c>
      <c r="M133" s="1">
        <v>0</v>
      </c>
    </row>
    <row r="134" spans="1:13" x14ac:dyDescent="0.2">
      <c r="A134" s="1">
        <v>11.6</v>
      </c>
      <c r="B134" s="1">
        <v>8.7800000000000011</v>
      </c>
      <c r="C134" s="1">
        <v>8.93</v>
      </c>
      <c r="D134" s="1">
        <v>18.740000000000002</v>
      </c>
      <c r="E134" s="1">
        <v>30.91</v>
      </c>
      <c r="F134" s="1">
        <v>23.130000000000003</v>
      </c>
      <c r="G134" s="1">
        <v>7.1199999999999992</v>
      </c>
      <c r="H134" s="1">
        <v>1.72</v>
      </c>
      <c r="I134" s="1">
        <v>0.66</v>
      </c>
      <c r="J134" s="1">
        <v>0.02</v>
      </c>
      <c r="K134" s="1">
        <v>0</v>
      </c>
      <c r="L134" s="1">
        <v>0</v>
      </c>
      <c r="M134" s="1">
        <v>0</v>
      </c>
    </row>
    <row r="135" spans="1:13" x14ac:dyDescent="0.2">
      <c r="A135" s="1">
        <v>11.7</v>
      </c>
      <c r="B135" s="1">
        <v>8.6000000000000014</v>
      </c>
      <c r="C135" s="1">
        <v>8.9500000000000011</v>
      </c>
      <c r="D135" s="1">
        <v>18.939999999999998</v>
      </c>
      <c r="E135" s="1">
        <v>31.32</v>
      </c>
      <c r="F135" s="1">
        <v>22.840000000000003</v>
      </c>
      <c r="G135" s="1">
        <v>6.81</v>
      </c>
      <c r="H135" s="1">
        <v>1.93</v>
      </c>
      <c r="I135" s="1">
        <v>0.57000000000000006</v>
      </c>
      <c r="J135" s="1">
        <v>0</v>
      </c>
      <c r="K135" s="1">
        <v>0</v>
      </c>
      <c r="L135" s="1">
        <v>0</v>
      </c>
      <c r="M135" s="1">
        <v>0</v>
      </c>
    </row>
    <row r="136" spans="1:13" x14ac:dyDescent="0.2">
      <c r="A136" s="1">
        <v>11.8</v>
      </c>
      <c r="B136" s="1">
        <v>12.839999999999998</v>
      </c>
      <c r="C136" s="1">
        <v>12.86</v>
      </c>
      <c r="D136" s="1">
        <v>21.12</v>
      </c>
      <c r="E136" s="1">
        <v>25.29</v>
      </c>
      <c r="F136" s="1">
        <v>18.09</v>
      </c>
      <c r="G136" s="1">
        <v>6.93</v>
      </c>
      <c r="H136" s="1">
        <v>1.94</v>
      </c>
      <c r="I136" s="1">
        <v>0.92999999999999994</v>
      </c>
      <c r="J136" s="1">
        <v>0.03</v>
      </c>
      <c r="K136" s="1">
        <v>0</v>
      </c>
      <c r="L136" s="1">
        <v>0</v>
      </c>
      <c r="M136" s="1">
        <v>0</v>
      </c>
    </row>
    <row r="137" spans="1:13" x14ac:dyDescent="0.2">
      <c r="A137" s="1">
        <v>11.9</v>
      </c>
      <c r="B137" s="1">
        <v>10.57</v>
      </c>
      <c r="C137" s="1">
        <v>11.399999999999999</v>
      </c>
      <c r="D137" s="1">
        <v>19.82</v>
      </c>
      <c r="E137" s="1">
        <v>28.86</v>
      </c>
      <c r="F137" s="1">
        <v>21.75</v>
      </c>
      <c r="G137" s="1">
        <v>6.01</v>
      </c>
      <c r="H137" s="1">
        <v>1.21</v>
      </c>
      <c r="I137" s="1">
        <v>0.39</v>
      </c>
      <c r="J137" s="1">
        <v>0</v>
      </c>
      <c r="K137" s="1">
        <v>0</v>
      </c>
      <c r="L137" s="1">
        <v>0</v>
      </c>
      <c r="M137" s="1">
        <v>0</v>
      </c>
    </row>
    <row r="138" spans="1:13" x14ac:dyDescent="0.2">
      <c r="A138" s="1">
        <v>12</v>
      </c>
      <c r="B138" s="1">
        <v>7.8500000000000005</v>
      </c>
      <c r="C138" s="1">
        <v>10.02</v>
      </c>
      <c r="D138" s="1">
        <v>16.899999999999999</v>
      </c>
      <c r="E138" s="1">
        <v>24.95</v>
      </c>
      <c r="F138" s="1">
        <v>21.67</v>
      </c>
      <c r="G138" s="1">
        <v>9.2099999999999991</v>
      </c>
      <c r="H138" s="1">
        <v>3.8699999999999997</v>
      </c>
      <c r="I138" s="1">
        <v>2.7600000000000002</v>
      </c>
      <c r="J138" s="1">
        <v>1.8800000000000001</v>
      </c>
      <c r="K138" s="1">
        <v>0.87</v>
      </c>
      <c r="L138" s="1">
        <v>0.01</v>
      </c>
      <c r="M138" s="1">
        <v>0</v>
      </c>
    </row>
    <row r="139" spans="1:13" x14ac:dyDescent="0.2">
      <c r="A139" s="1">
        <v>12.05</v>
      </c>
      <c r="B139" s="1">
        <v>9.93</v>
      </c>
      <c r="C139" s="1">
        <v>10.99</v>
      </c>
      <c r="D139" s="1">
        <v>20.939999999999998</v>
      </c>
      <c r="E139" s="1">
        <v>29.229999999999997</v>
      </c>
      <c r="F139" s="1">
        <v>20.23</v>
      </c>
      <c r="G139" s="1">
        <v>6.15</v>
      </c>
      <c r="H139" s="1">
        <v>1.98</v>
      </c>
      <c r="I139" s="1">
        <v>0.55000000000000004</v>
      </c>
      <c r="J139" s="1">
        <v>0</v>
      </c>
      <c r="K139" s="1">
        <v>0</v>
      </c>
      <c r="L139" s="1">
        <v>0</v>
      </c>
      <c r="M139" s="1">
        <v>0</v>
      </c>
    </row>
    <row r="140" spans="1:13" x14ac:dyDescent="0.2">
      <c r="A140" s="1">
        <v>12.25</v>
      </c>
      <c r="B140" s="1">
        <v>7.8000000000000007</v>
      </c>
      <c r="C140" s="1">
        <v>7.86</v>
      </c>
      <c r="D140" s="1">
        <v>17.75</v>
      </c>
      <c r="E140" s="1">
        <v>31</v>
      </c>
      <c r="F140" s="1">
        <v>25.32</v>
      </c>
      <c r="G140" s="1">
        <v>7.66</v>
      </c>
      <c r="H140" s="1">
        <v>2.09</v>
      </c>
      <c r="I140" s="1">
        <v>0.52</v>
      </c>
      <c r="J140" s="1">
        <v>0</v>
      </c>
      <c r="K140" s="1">
        <v>0</v>
      </c>
      <c r="L140" s="1">
        <v>0</v>
      </c>
      <c r="M140" s="1">
        <v>0</v>
      </c>
    </row>
    <row r="141" spans="1:13" x14ac:dyDescent="0.2">
      <c r="A141" s="1">
        <v>12.3</v>
      </c>
      <c r="B141" s="1">
        <v>9</v>
      </c>
      <c r="C141" s="1">
        <v>9.379999999999999</v>
      </c>
      <c r="D141" s="1">
        <v>19.46</v>
      </c>
      <c r="E141" s="1">
        <v>30.25</v>
      </c>
      <c r="F141" s="1">
        <v>21.57</v>
      </c>
      <c r="G141" s="1">
        <v>7.2399999999999993</v>
      </c>
      <c r="H141" s="1">
        <v>2.2399999999999998</v>
      </c>
      <c r="I141" s="1">
        <v>0.81</v>
      </c>
      <c r="J141" s="1">
        <v>0.02</v>
      </c>
      <c r="K141" s="1">
        <v>0</v>
      </c>
      <c r="L141" s="1">
        <v>0</v>
      </c>
      <c r="M141" s="1">
        <v>0</v>
      </c>
    </row>
    <row r="142" spans="1:13" x14ac:dyDescent="0.2">
      <c r="A142" s="1">
        <v>12.4</v>
      </c>
      <c r="B142" s="1">
        <v>10.4</v>
      </c>
      <c r="C142" s="1">
        <v>11.25</v>
      </c>
      <c r="D142" s="1">
        <v>19.900000000000002</v>
      </c>
      <c r="E142" s="1">
        <v>27.589999999999996</v>
      </c>
      <c r="F142" s="1">
        <v>21.68</v>
      </c>
      <c r="G142" s="1">
        <v>6.3299999999999992</v>
      </c>
      <c r="H142" s="1">
        <v>2.2399999999999998</v>
      </c>
      <c r="I142" s="1">
        <v>0.62</v>
      </c>
      <c r="J142" s="1">
        <v>0</v>
      </c>
      <c r="K142" s="1">
        <v>0</v>
      </c>
      <c r="L142" s="1">
        <v>0</v>
      </c>
      <c r="M142" s="1">
        <v>0</v>
      </c>
    </row>
    <row r="143" spans="1:13" x14ac:dyDescent="0.2">
      <c r="A143" s="1">
        <v>12.5</v>
      </c>
      <c r="B143" s="1">
        <v>8.9400000000000013</v>
      </c>
      <c r="C143" s="1">
        <v>9.629999999999999</v>
      </c>
      <c r="D143" s="1">
        <v>18.3</v>
      </c>
      <c r="E143" s="1">
        <v>28.39</v>
      </c>
      <c r="F143" s="1">
        <v>23.34</v>
      </c>
      <c r="G143" s="1">
        <v>8.2299999999999986</v>
      </c>
      <c r="H143" s="1">
        <v>2.65</v>
      </c>
      <c r="I143" s="1">
        <v>0.51</v>
      </c>
      <c r="J143" s="1">
        <v>0</v>
      </c>
      <c r="K143" s="1">
        <v>0</v>
      </c>
      <c r="L143" s="1">
        <v>0</v>
      </c>
      <c r="M143" s="1">
        <v>0</v>
      </c>
    </row>
    <row r="144" spans="1:13" x14ac:dyDescent="0.2">
      <c r="A144" s="1">
        <v>12.6</v>
      </c>
      <c r="B144" s="1">
        <v>9.33</v>
      </c>
      <c r="C144" s="1">
        <v>10.35</v>
      </c>
      <c r="D144" s="1">
        <v>18.79</v>
      </c>
      <c r="E144" s="1">
        <v>27.57</v>
      </c>
      <c r="F144" s="1">
        <v>21.43</v>
      </c>
      <c r="G144" s="1">
        <v>7.75</v>
      </c>
      <c r="H144" s="1">
        <v>3.26</v>
      </c>
      <c r="I144" s="1">
        <v>1.47</v>
      </c>
      <c r="J144" s="1">
        <v>0.03</v>
      </c>
      <c r="K144" s="1">
        <v>0</v>
      </c>
      <c r="L144" s="1">
        <v>0</v>
      </c>
      <c r="M144" s="1">
        <v>0</v>
      </c>
    </row>
    <row r="145" spans="1:13" x14ac:dyDescent="0.2">
      <c r="A145" s="1">
        <v>12.7</v>
      </c>
      <c r="B145" s="1">
        <v>9.11</v>
      </c>
      <c r="C145" s="1">
        <v>9.83</v>
      </c>
      <c r="D145" s="1">
        <v>19.47</v>
      </c>
      <c r="E145" s="1">
        <v>30.1</v>
      </c>
      <c r="F145" s="1">
        <v>21.17</v>
      </c>
      <c r="G145" s="1">
        <v>6.7600000000000007</v>
      </c>
      <c r="H145" s="1">
        <v>2.7800000000000002</v>
      </c>
      <c r="I145" s="1">
        <v>0.77</v>
      </c>
      <c r="J145" s="1">
        <v>0</v>
      </c>
      <c r="K145" s="1">
        <v>0</v>
      </c>
      <c r="L145" s="1">
        <v>0</v>
      </c>
      <c r="M145" s="1">
        <v>0</v>
      </c>
    </row>
    <row r="146" spans="1:13" x14ac:dyDescent="0.2">
      <c r="A146" s="1">
        <v>12.8</v>
      </c>
      <c r="B146" s="1">
        <v>9.24</v>
      </c>
      <c r="C146" s="1">
        <v>10.270000000000001</v>
      </c>
      <c r="D146" s="1">
        <v>20.740000000000002</v>
      </c>
      <c r="E146" s="1">
        <v>29.5</v>
      </c>
      <c r="F146" s="1">
        <v>19.670000000000002</v>
      </c>
      <c r="G146" s="1">
        <v>8.77</v>
      </c>
      <c r="H146" s="1">
        <v>1.8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</row>
    <row r="147" spans="1:13" x14ac:dyDescent="0.2">
      <c r="A147" s="1">
        <v>12.9</v>
      </c>
      <c r="B147" s="1">
        <v>9.77</v>
      </c>
      <c r="C147" s="1">
        <v>11.100000000000001</v>
      </c>
      <c r="D147" s="1">
        <v>21.07</v>
      </c>
      <c r="E147" s="1">
        <v>29.33</v>
      </c>
      <c r="F147" s="1">
        <v>23.43</v>
      </c>
      <c r="G147" s="1">
        <v>5.29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</row>
    <row r="148" spans="1:13" x14ac:dyDescent="0.2">
      <c r="A148" s="1">
        <v>13</v>
      </c>
      <c r="B148" s="1">
        <v>9.86</v>
      </c>
      <c r="C148" s="1">
        <v>10.74</v>
      </c>
      <c r="D148" s="1">
        <v>19.809999999999999</v>
      </c>
      <c r="E148" s="1">
        <v>30.04</v>
      </c>
      <c r="F148" s="1">
        <v>24.78</v>
      </c>
      <c r="G148" s="1">
        <v>4.8099999999999996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</row>
    <row r="149" spans="1:13" x14ac:dyDescent="0.2">
      <c r="A149" s="1">
        <v>13.05</v>
      </c>
      <c r="B149" s="1">
        <v>12.079999999999998</v>
      </c>
      <c r="C149" s="1">
        <v>12.739999999999998</v>
      </c>
      <c r="D149" s="1">
        <v>22.74</v>
      </c>
      <c r="E149" s="1">
        <v>30.319999999999997</v>
      </c>
      <c r="F149" s="1">
        <v>19.43</v>
      </c>
      <c r="G149" s="1">
        <v>2.69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</row>
    <row r="150" spans="1:13" x14ac:dyDescent="0.2">
      <c r="A150" s="1">
        <v>13.3</v>
      </c>
      <c r="B150" s="1">
        <v>8.6300000000000008</v>
      </c>
      <c r="C150" s="1">
        <v>9.39</v>
      </c>
      <c r="D150" s="1">
        <v>19.62</v>
      </c>
      <c r="E150" s="1">
        <v>31.08</v>
      </c>
      <c r="F150" s="1">
        <v>23.230000000000004</v>
      </c>
      <c r="G150" s="1">
        <v>7.94</v>
      </c>
      <c r="H150" s="1">
        <v>0.11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</row>
    <row r="151" spans="1:13" x14ac:dyDescent="0.2">
      <c r="A151" s="1">
        <v>13.4</v>
      </c>
      <c r="B151" s="1">
        <v>10.050000000000001</v>
      </c>
      <c r="C151" s="1">
        <v>11.18</v>
      </c>
      <c r="D151" s="1">
        <v>20.009999999999998</v>
      </c>
      <c r="E151" s="1">
        <v>29.54</v>
      </c>
      <c r="F151" s="1">
        <v>23.580000000000002</v>
      </c>
      <c r="G151" s="1">
        <v>5.6499999999999995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</row>
    <row r="152" spans="1:13" x14ac:dyDescent="0.2">
      <c r="A152" s="1">
        <v>13.5</v>
      </c>
      <c r="B152" s="1">
        <v>13.41</v>
      </c>
      <c r="C152" s="1">
        <v>14.15</v>
      </c>
      <c r="D152" s="1">
        <v>22.29</v>
      </c>
      <c r="E152" s="1">
        <v>27.09</v>
      </c>
      <c r="F152" s="1">
        <v>17.610000000000003</v>
      </c>
      <c r="G152" s="1">
        <v>5.03</v>
      </c>
      <c r="H152" s="1">
        <v>0.4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</row>
    <row r="153" spans="1:13" x14ac:dyDescent="0.2">
      <c r="A153" s="1">
        <v>13.6</v>
      </c>
      <c r="B153" s="1">
        <v>12.059999999999999</v>
      </c>
      <c r="C153" s="1">
        <v>12.649999999999999</v>
      </c>
      <c r="D153" s="1">
        <v>20.440000000000001</v>
      </c>
      <c r="E153" s="1">
        <v>27.819999999999997</v>
      </c>
      <c r="F153" s="1">
        <v>20.22</v>
      </c>
      <c r="G153" s="1">
        <v>6.17</v>
      </c>
      <c r="H153" s="1">
        <v>0.64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</row>
    <row r="154" spans="1:13" x14ac:dyDescent="0.2">
      <c r="A154" s="1">
        <v>13.7</v>
      </c>
      <c r="B154" s="1">
        <v>11.860000000000001</v>
      </c>
      <c r="C154" s="1">
        <v>12.669999999999998</v>
      </c>
      <c r="D154" s="1">
        <v>20.68</v>
      </c>
      <c r="E154" s="1">
        <v>27.549999999999997</v>
      </c>
      <c r="F154" s="1">
        <v>20.32</v>
      </c>
      <c r="G154" s="1">
        <v>6.3599999999999994</v>
      </c>
      <c r="H154" s="1">
        <v>0.57000000000000006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</row>
    <row r="155" spans="1:13" x14ac:dyDescent="0.2">
      <c r="A155" s="1">
        <v>13.8</v>
      </c>
      <c r="B155" s="1">
        <v>10.15</v>
      </c>
      <c r="C155" s="1">
        <v>10.01</v>
      </c>
      <c r="D155" s="1">
        <v>20.170000000000002</v>
      </c>
      <c r="E155" s="1">
        <v>28.99</v>
      </c>
      <c r="F155" s="1">
        <v>20.71</v>
      </c>
      <c r="G155" s="1">
        <v>6.67</v>
      </c>
      <c r="H155" s="1">
        <v>2.9800000000000004</v>
      </c>
      <c r="I155" s="1">
        <v>0.30000000000000004</v>
      </c>
      <c r="J155" s="1">
        <v>0</v>
      </c>
      <c r="K155" s="1">
        <v>0</v>
      </c>
      <c r="L155" s="1">
        <v>0</v>
      </c>
      <c r="M155" s="1">
        <v>0</v>
      </c>
    </row>
    <row r="156" spans="1:13" x14ac:dyDescent="0.2">
      <c r="A156" s="1">
        <v>13.9</v>
      </c>
      <c r="B156" s="1">
        <v>9.9600000000000009</v>
      </c>
      <c r="C156" s="1">
        <v>11.31</v>
      </c>
      <c r="D156" s="1">
        <v>18.059999999999999</v>
      </c>
      <c r="E156" s="1">
        <v>29.84</v>
      </c>
      <c r="F156" s="1">
        <v>22.92</v>
      </c>
      <c r="G156" s="1">
        <v>5.3800000000000008</v>
      </c>
      <c r="H156" s="1">
        <v>2.42</v>
      </c>
      <c r="I156" s="1">
        <v>0.12</v>
      </c>
      <c r="J156" s="1">
        <v>0</v>
      </c>
      <c r="K156" s="1">
        <v>0</v>
      </c>
      <c r="L156" s="1">
        <v>0</v>
      </c>
      <c r="M156" s="1">
        <v>0</v>
      </c>
    </row>
    <row r="157" spans="1:13" x14ac:dyDescent="0.2">
      <c r="A157" s="1">
        <v>14</v>
      </c>
      <c r="B157" s="1">
        <v>12.35</v>
      </c>
      <c r="C157" s="1">
        <v>13.169999999999998</v>
      </c>
      <c r="D157" s="1">
        <v>21.49</v>
      </c>
      <c r="E157" s="1">
        <v>27.310000000000002</v>
      </c>
      <c r="F157" s="1">
        <v>17.64</v>
      </c>
      <c r="G157" s="1">
        <v>5.1899999999999995</v>
      </c>
      <c r="H157" s="1">
        <v>2.35</v>
      </c>
      <c r="I157" s="1">
        <v>0.46</v>
      </c>
      <c r="J157" s="1">
        <v>0</v>
      </c>
      <c r="K157" s="1">
        <v>0</v>
      </c>
      <c r="L157" s="1">
        <v>0</v>
      </c>
      <c r="M157" s="1">
        <v>0</v>
      </c>
    </row>
    <row r="158" spans="1:13" x14ac:dyDescent="0.2">
      <c r="A158" s="1">
        <v>14.05</v>
      </c>
      <c r="B158" s="1">
        <v>10.420000000000002</v>
      </c>
      <c r="C158" s="1">
        <v>10.73</v>
      </c>
      <c r="D158" s="1">
        <v>19.54</v>
      </c>
      <c r="E158" s="1">
        <v>28.930000000000003</v>
      </c>
      <c r="F158" s="1">
        <v>19.650000000000002</v>
      </c>
      <c r="G158" s="1">
        <v>6.32</v>
      </c>
      <c r="H158" s="1">
        <v>3.48</v>
      </c>
      <c r="I158" s="1">
        <v>0.89999999999999991</v>
      </c>
      <c r="J158" s="1">
        <v>0.05</v>
      </c>
      <c r="K158" s="1">
        <v>0</v>
      </c>
      <c r="L158" s="1">
        <v>0</v>
      </c>
      <c r="M158" s="1">
        <v>0</v>
      </c>
    </row>
    <row r="159" spans="1:13" x14ac:dyDescent="0.2">
      <c r="A159" s="1">
        <v>14.3</v>
      </c>
      <c r="B159" s="1">
        <v>11.17</v>
      </c>
      <c r="C159" s="1">
        <v>11.73</v>
      </c>
      <c r="D159" s="1">
        <v>19.96</v>
      </c>
      <c r="E159" s="1">
        <v>29.740000000000002</v>
      </c>
      <c r="F159" s="1">
        <v>19.510000000000002</v>
      </c>
      <c r="G159" s="1">
        <v>5.19</v>
      </c>
      <c r="H159" s="1">
        <v>2.2199999999999998</v>
      </c>
      <c r="I159" s="1">
        <v>0.49000000000000005</v>
      </c>
      <c r="J159" s="1">
        <v>0</v>
      </c>
      <c r="K159" s="1">
        <v>0</v>
      </c>
      <c r="L159" s="1">
        <v>0</v>
      </c>
      <c r="M159" s="1">
        <v>0</v>
      </c>
    </row>
    <row r="160" spans="1:13" x14ac:dyDescent="0.2">
      <c r="A160" s="1">
        <v>14.4</v>
      </c>
      <c r="B160" s="1">
        <v>9.4499999999999993</v>
      </c>
      <c r="C160" s="1">
        <v>10.16</v>
      </c>
      <c r="D160" s="1">
        <v>19.079999999999998</v>
      </c>
      <c r="E160" s="1">
        <v>29.5</v>
      </c>
      <c r="F160" s="1">
        <v>20.56</v>
      </c>
      <c r="G160" s="1">
        <v>6.63</v>
      </c>
      <c r="H160" s="1">
        <v>3.49</v>
      </c>
      <c r="I160" s="1">
        <v>1.1100000000000001</v>
      </c>
      <c r="J160" s="1">
        <v>0.01</v>
      </c>
      <c r="K160" s="1">
        <v>0</v>
      </c>
      <c r="L160" s="1">
        <v>0</v>
      </c>
      <c r="M160" s="1">
        <v>0</v>
      </c>
    </row>
    <row r="161" spans="1:13" x14ac:dyDescent="0.2">
      <c r="A161" s="1">
        <v>14.5</v>
      </c>
      <c r="B161" s="1">
        <v>9.08</v>
      </c>
      <c r="C161" s="1">
        <v>9.9</v>
      </c>
      <c r="D161" s="1">
        <v>18.68</v>
      </c>
      <c r="E161" s="1">
        <v>31.270000000000003</v>
      </c>
      <c r="F161" s="1">
        <v>21.560000000000002</v>
      </c>
      <c r="G161" s="1">
        <v>5.7700000000000005</v>
      </c>
      <c r="H161" s="1">
        <v>2.61</v>
      </c>
      <c r="I161" s="1">
        <v>1</v>
      </c>
      <c r="J161" s="1">
        <v>0.15</v>
      </c>
      <c r="K161" s="1">
        <v>0</v>
      </c>
      <c r="L161" s="1">
        <v>0</v>
      </c>
      <c r="M161" s="1">
        <v>0</v>
      </c>
    </row>
    <row r="162" spans="1:13" x14ac:dyDescent="0.2">
      <c r="A162" s="1">
        <v>14.6</v>
      </c>
      <c r="B162" s="1">
        <v>11.57</v>
      </c>
      <c r="C162" s="1">
        <v>12.13</v>
      </c>
      <c r="D162" s="1">
        <v>21.29</v>
      </c>
      <c r="E162" s="1">
        <v>27.410000000000004</v>
      </c>
      <c r="F162" s="1">
        <v>18.93</v>
      </c>
      <c r="G162" s="1">
        <v>5.5500000000000007</v>
      </c>
      <c r="H162" s="1">
        <v>2.15</v>
      </c>
      <c r="I162" s="1">
        <v>0.8</v>
      </c>
      <c r="J162" s="1">
        <v>0.15</v>
      </c>
      <c r="K162" s="1">
        <v>0.01</v>
      </c>
      <c r="L162" s="1">
        <v>0</v>
      </c>
      <c r="M162" s="1">
        <v>0</v>
      </c>
    </row>
    <row r="163" spans="1:13" x14ac:dyDescent="0.2">
      <c r="A163" s="1">
        <v>14.7</v>
      </c>
      <c r="B163" s="1">
        <v>10.250000000000002</v>
      </c>
      <c r="C163" s="1">
        <v>10.84</v>
      </c>
      <c r="D163" s="1">
        <v>19.600000000000001</v>
      </c>
      <c r="E163" s="1">
        <v>28.97</v>
      </c>
      <c r="F163" s="1">
        <v>20.96</v>
      </c>
      <c r="G163" s="1">
        <v>6.23</v>
      </c>
      <c r="H163" s="1">
        <v>2.63</v>
      </c>
      <c r="I163" s="1">
        <v>0.51999999999999991</v>
      </c>
      <c r="J163" s="1">
        <v>0</v>
      </c>
      <c r="K163" s="1">
        <v>0</v>
      </c>
      <c r="L163" s="1">
        <v>0</v>
      </c>
      <c r="M163" s="1">
        <v>0</v>
      </c>
    </row>
    <row r="164" spans="1:13" x14ac:dyDescent="0.2">
      <c r="A164" s="1">
        <v>14.8</v>
      </c>
      <c r="B164" s="1">
        <v>9.2700000000000014</v>
      </c>
      <c r="C164" s="1">
        <v>10.43</v>
      </c>
      <c r="D164" s="1">
        <v>18.36</v>
      </c>
      <c r="E164" s="1">
        <v>30.199999999999996</v>
      </c>
      <c r="F164" s="1">
        <v>23.009999999999998</v>
      </c>
      <c r="G164" s="1">
        <v>5.120000000000001</v>
      </c>
      <c r="H164" s="1">
        <v>3.0500000000000003</v>
      </c>
      <c r="I164" s="1">
        <v>0.54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2">
      <c r="A165" s="1">
        <v>14.9</v>
      </c>
      <c r="B165" s="1">
        <v>10.15</v>
      </c>
      <c r="C165" s="1">
        <v>10.15</v>
      </c>
      <c r="D165" s="1">
        <v>20.39</v>
      </c>
      <c r="E165" s="1">
        <v>27.85</v>
      </c>
      <c r="F165" s="1">
        <v>20.78</v>
      </c>
      <c r="G165" s="1">
        <v>6.38</v>
      </c>
      <c r="H165" s="1">
        <v>3.0700000000000003</v>
      </c>
      <c r="I165" s="1">
        <v>1.2100000000000002</v>
      </c>
      <c r="J165" s="1">
        <v>0</v>
      </c>
      <c r="K165" s="1">
        <v>0</v>
      </c>
      <c r="L165" s="1">
        <v>0</v>
      </c>
      <c r="M165" s="1">
        <v>0</v>
      </c>
    </row>
    <row r="166" spans="1:13" x14ac:dyDescent="0.2">
      <c r="A166" s="1">
        <v>15</v>
      </c>
      <c r="B166" s="1">
        <v>10.25</v>
      </c>
      <c r="C166" s="1">
        <v>10.62</v>
      </c>
      <c r="D166" s="1">
        <v>20.669999999999998</v>
      </c>
      <c r="E166" s="1">
        <v>28.21</v>
      </c>
      <c r="F166" s="1">
        <v>18.829999999999998</v>
      </c>
      <c r="G166" s="1">
        <v>5.73</v>
      </c>
      <c r="H166" s="1">
        <v>2.79</v>
      </c>
      <c r="I166" s="1">
        <v>1.8199999999999998</v>
      </c>
      <c r="J166" s="1">
        <v>1.0699999999999998</v>
      </c>
      <c r="K166" s="1">
        <v>0.04</v>
      </c>
      <c r="L166" s="1">
        <v>0</v>
      </c>
      <c r="M166" s="1">
        <v>0</v>
      </c>
    </row>
    <row r="167" spans="1:13" x14ac:dyDescent="0.2">
      <c r="A167" s="1">
        <v>15.05</v>
      </c>
      <c r="B167" s="1">
        <v>14.43</v>
      </c>
      <c r="C167" s="1">
        <v>14.280000000000001</v>
      </c>
      <c r="D167" s="1">
        <v>23.03</v>
      </c>
      <c r="E167" s="1">
        <v>25.029999999999998</v>
      </c>
      <c r="F167" s="1">
        <v>15.159999999999998</v>
      </c>
      <c r="G167" s="1">
        <v>5.2</v>
      </c>
      <c r="H167" s="1">
        <v>2.13</v>
      </c>
      <c r="I167" s="1">
        <v>0.73</v>
      </c>
      <c r="J167" s="1">
        <v>0</v>
      </c>
      <c r="K167" s="1">
        <v>0</v>
      </c>
      <c r="L167" s="1">
        <v>0</v>
      </c>
      <c r="M167" s="1">
        <v>0</v>
      </c>
    </row>
    <row r="168" spans="1:13" x14ac:dyDescent="0.2">
      <c r="A168" s="1">
        <v>15.3</v>
      </c>
      <c r="B168" s="1">
        <v>13.090000000000002</v>
      </c>
      <c r="C168" s="1">
        <v>13.100000000000001</v>
      </c>
      <c r="D168" s="1">
        <v>22.659999999999997</v>
      </c>
      <c r="E168" s="1">
        <v>26.14</v>
      </c>
      <c r="F168" s="1">
        <v>16.02</v>
      </c>
      <c r="G168" s="1">
        <v>5.9</v>
      </c>
      <c r="H168" s="1">
        <v>2.4700000000000002</v>
      </c>
      <c r="I168" s="1">
        <v>0.64</v>
      </c>
      <c r="J168" s="1">
        <v>0</v>
      </c>
      <c r="K168" s="1">
        <v>0</v>
      </c>
      <c r="L168" s="1">
        <v>0</v>
      </c>
      <c r="M168" s="1">
        <v>0</v>
      </c>
    </row>
    <row r="169" spans="1:13" x14ac:dyDescent="0.2">
      <c r="A169" s="1">
        <v>15.4</v>
      </c>
      <c r="B169" s="1">
        <v>12.270000000000001</v>
      </c>
      <c r="C169" s="1">
        <v>13.059999999999999</v>
      </c>
      <c r="D169" s="1">
        <v>21.35</v>
      </c>
      <c r="E169" s="1">
        <v>25.72</v>
      </c>
      <c r="F169" s="1">
        <v>17.61</v>
      </c>
      <c r="G169" s="1">
        <v>5.68</v>
      </c>
      <c r="H169" s="1">
        <v>2.54</v>
      </c>
      <c r="I169" s="1">
        <v>1.2599999999999998</v>
      </c>
      <c r="J169" s="1">
        <v>0.43</v>
      </c>
      <c r="K169" s="1">
        <v>0.02</v>
      </c>
      <c r="L169" s="1">
        <v>0</v>
      </c>
      <c r="M169" s="1">
        <v>0</v>
      </c>
    </row>
    <row r="170" spans="1:13" x14ac:dyDescent="0.2">
      <c r="A170" s="1">
        <v>15.5</v>
      </c>
      <c r="B170" s="1">
        <v>11.34</v>
      </c>
      <c r="C170" s="1">
        <v>11.86</v>
      </c>
      <c r="D170" s="1">
        <v>21.73</v>
      </c>
      <c r="E170" s="1">
        <v>26.71</v>
      </c>
      <c r="F170" s="1">
        <v>17.8</v>
      </c>
      <c r="G170" s="1">
        <v>6.65</v>
      </c>
      <c r="H170" s="1">
        <v>2.83</v>
      </c>
      <c r="I170" s="1">
        <v>1.0899999999999999</v>
      </c>
      <c r="J170" s="1">
        <v>0.01</v>
      </c>
      <c r="K170" s="1">
        <v>0</v>
      </c>
      <c r="L170" s="1">
        <v>0</v>
      </c>
      <c r="M170" s="1">
        <v>0</v>
      </c>
    </row>
    <row r="171" spans="1:13" x14ac:dyDescent="0.2">
      <c r="A171" s="1">
        <v>15.6</v>
      </c>
      <c r="B171" s="1">
        <v>11.129999999999999</v>
      </c>
      <c r="C171" s="1">
        <v>11.219999999999999</v>
      </c>
      <c r="D171" s="1">
        <v>22.400000000000002</v>
      </c>
      <c r="E171" s="1">
        <v>26.730000000000004</v>
      </c>
      <c r="F171" s="1">
        <v>18.060000000000002</v>
      </c>
      <c r="G171" s="1">
        <v>6.85</v>
      </c>
      <c r="H171" s="1">
        <v>2.8599999999999994</v>
      </c>
      <c r="I171" s="1">
        <v>0.73</v>
      </c>
      <c r="J171" s="1">
        <v>0</v>
      </c>
      <c r="K171" s="1">
        <v>0</v>
      </c>
      <c r="L171" s="1">
        <v>0</v>
      </c>
      <c r="M171" s="1">
        <v>0</v>
      </c>
    </row>
    <row r="172" spans="1:13" x14ac:dyDescent="0.2">
      <c r="A172" s="1">
        <v>15.7</v>
      </c>
      <c r="B172" s="1">
        <v>12.85</v>
      </c>
      <c r="C172" s="1">
        <v>11.78</v>
      </c>
      <c r="D172" s="1">
        <v>23.28</v>
      </c>
      <c r="E172" s="1">
        <v>28.23</v>
      </c>
      <c r="F172" s="1">
        <v>17.049999999999997</v>
      </c>
      <c r="G172" s="1">
        <v>5.46</v>
      </c>
      <c r="H172" s="1">
        <v>1.35</v>
      </c>
      <c r="I172" s="1">
        <v>0.01</v>
      </c>
      <c r="J172" s="1">
        <v>0</v>
      </c>
      <c r="K172" s="1">
        <v>0</v>
      </c>
      <c r="L172" s="1">
        <v>0</v>
      </c>
      <c r="M172" s="1">
        <v>0</v>
      </c>
    </row>
    <row r="173" spans="1:13" x14ac:dyDescent="0.2">
      <c r="A173" s="1">
        <v>15.8</v>
      </c>
      <c r="B173" s="1">
        <v>12.470000000000002</v>
      </c>
      <c r="C173" s="1">
        <v>12.27</v>
      </c>
      <c r="D173" s="1">
        <v>22.37</v>
      </c>
      <c r="E173" s="1">
        <v>26.920000000000005</v>
      </c>
      <c r="F173" s="1">
        <v>17.399999999999999</v>
      </c>
      <c r="G173" s="1">
        <v>5.91</v>
      </c>
      <c r="H173" s="1">
        <v>2.27</v>
      </c>
      <c r="I173" s="1">
        <v>0.4</v>
      </c>
      <c r="J173" s="1">
        <v>0</v>
      </c>
      <c r="K173" s="1">
        <v>0</v>
      </c>
      <c r="L173" s="1">
        <v>0</v>
      </c>
      <c r="M173" s="1">
        <v>0</v>
      </c>
    </row>
    <row r="174" spans="1:13" x14ac:dyDescent="0.2">
      <c r="A174" s="1">
        <v>15.9</v>
      </c>
      <c r="B174" s="1">
        <v>10.76</v>
      </c>
      <c r="C174" s="1">
        <v>11.61</v>
      </c>
      <c r="D174" s="1">
        <v>21.59</v>
      </c>
      <c r="E174" s="1">
        <v>26.49</v>
      </c>
      <c r="F174" s="1">
        <v>18.29</v>
      </c>
      <c r="G174" s="1">
        <v>6.86</v>
      </c>
      <c r="H174" s="1">
        <v>3.31</v>
      </c>
      <c r="I174" s="1">
        <v>1.08</v>
      </c>
      <c r="J174" s="1">
        <v>0.01</v>
      </c>
      <c r="K174" s="1">
        <v>0</v>
      </c>
      <c r="L174" s="1">
        <v>0</v>
      </c>
      <c r="M174" s="1">
        <v>0</v>
      </c>
    </row>
    <row r="175" spans="1:13" x14ac:dyDescent="0.2">
      <c r="A175" s="1">
        <v>16</v>
      </c>
      <c r="B175" s="1">
        <v>12.17</v>
      </c>
      <c r="C175" s="1">
        <v>10.94</v>
      </c>
      <c r="D175" s="1">
        <v>21.76</v>
      </c>
      <c r="E175" s="1">
        <v>28.130000000000003</v>
      </c>
      <c r="F175" s="1">
        <v>18.02</v>
      </c>
      <c r="G175" s="1">
        <v>6.1300000000000008</v>
      </c>
      <c r="H175" s="1">
        <v>2.13</v>
      </c>
      <c r="I175" s="1">
        <v>0.73000000000000009</v>
      </c>
      <c r="J175" s="1">
        <v>0</v>
      </c>
      <c r="K175" s="1">
        <v>0</v>
      </c>
      <c r="L175" s="1">
        <v>0</v>
      </c>
      <c r="M175" s="1">
        <v>0</v>
      </c>
    </row>
    <row r="176" spans="1:13" x14ac:dyDescent="0.2">
      <c r="A176" s="1">
        <v>16.05</v>
      </c>
      <c r="B176" s="1">
        <v>10.46</v>
      </c>
      <c r="C176" s="1">
        <v>12.030000000000001</v>
      </c>
      <c r="D176" s="1">
        <v>19.559999999999999</v>
      </c>
      <c r="E176" s="1">
        <v>23.839999999999996</v>
      </c>
      <c r="F176" s="1">
        <v>17.399999999999999</v>
      </c>
      <c r="G176" s="1">
        <v>7.1099999999999994</v>
      </c>
      <c r="H176" s="1">
        <v>3.8499999999999996</v>
      </c>
      <c r="I176" s="1">
        <v>2.1800000000000002</v>
      </c>
      <c r="J176" s="1">
        <v>1.7</v>
      </c>
      <c r="K176" s="1">
        <v>1.77</v>
      </c>
      <c r="L176" s="1">
        <v>0.13</v>
      </c>
      <c r="M176" s="1">
        <v>0</v>
      </c>
    </row>
    <row r="177" spans="1:13" x14ac:dyDescent="0.2">
      <c r="A177" s="1">
        <v>16.3</v>
      </c>
      <c r="B177" s="1">
        <v>13.15</v>
      </c>
      <c r="C177" s="1">
        <v>12.760000000000002</v>
      </c>
      <c r="D177" s="1">
        <v>21.23</v>
      </c>
      <c r="E177" s="1">
        <v>27.22</v>
      </c>
      <c r="F177" s="1">
        <v>16.91</v>
      </c>
      <c r="G177" s="1">
        <v>5.93</v>
      </c>
      <c r="H177" s="1">
        <v>2.17</v>
      </c>
      <c r="I177" s="1">
        <v>0.63000000000000012</v>
      </c>
      <c r="J177" s="1">
        <v>0</v>
      </c>
      <c r="K177" s="1">
        <v>0</v>
      </c>
      <c r="L177" s="1">
        <v>0</v>
      </c>
      <c r="M177" s="1">
        <v>0</v>
      </c>
    </row>
    <row r="178" spans="1:13" x14ac:dyDescent="0.2">
      <c r="A178" s="1">
        <v>16.399999999999999</v>
      </c>
      <c r="B178" s="1">
        <v>10.210000000000001</v>
      </c>
      <c r="C178" s="1">
        <v>9.379999999999999</v>
      </c>
      <c r="D178" s="1">
        <v>20.32</v>
      </c>
      <c r="E178" s="1">
        <v>29.59</v>
      </c>
      <c r="F178" s="1">
        <v>19.68</v>
      </c>
      <c r="G178" s="1">
        <v>6.8900000000000006</v>
      </c>
      <c r="H178" s="1">
        <v>2.5500000000000003</v>
      </c>
      <c r="I178" s="1">
        <v>0.99</v>
      </c>
      <c r="J178" s="1">
        <v>0.29000000000000004</v>
      </c>
      <c r="K178" s="1">
        <v>0.08</v>
      </c>
      <c r="L178" s="1">
        <v>0</v>
      </c>
      <c r="M178" s="1">
        <v>0</v>
      </c>
    </row>
    <row r="179" spans="1:13" x14ac:dyDescent="0.2">
      <c r="A179" s="1">
        <v>16.5</v>
      </c>
      <c r="B179" s="1">
        <v>13.6</v>
      </c>
      <c r="C179" s="1">
        <v>12.379999999999999</v>
      </c>
      <c r="D179" s="1">
        <v>22.4</v>
      </c>
      <c r="E179" s="1">
        <v>26.57</v>
      </c>
      <c r="F179" s="1">
        <v>16.2</v>
      </c>
      <c r="G179" s="1">
        <v>5.59</v>
      </c>
      <c r="H179" s="1">
        <v>2.34</v>
      </c>
      <c r="I179" s="1">
        <v>0.89000000000000012</v>
      </c>
      <c r="J179" s="1">
        <v>0</v>
      </c>
      <c r="K179" s="1">
        <v>0</v>
      </c>
      <c r="L179" s="1">
        <v>0</v>
      </c>
      <c r="M179" s="1">
        <v>0</v>
      </c>
    </row>
    <row r="180" spans="1:13" x14ac:dyDescent="0.2">
      <c r="A180" s="1">
        <v>16.600000000000001</v>
      </c>
      <c r="B180" s="1">
        <v>8.11</v>
      </c>
      <c r="C180" s="1">
        <v>8.4600000000000009</v>
      </c>
      <c r="D180" s="1">
        <v>20.59</v>
      </c>
      <c r="E180" s="1">
        <v>27.400000000000006</v>
      </c>
      <c r="F180" s="1">
        <v>20.12</v>
      </c>
      <c r="G180" s="1">
        <v>8.3000000000000007</v>
      </c>
      <c r="H180" s="1">
        <v>4.5999999999999996</v>
      </c>
      <c r="I180" s="1">
        <v>2.06</v>
      </c>
      <c r="J180" s="1">
        <v>0.36</v>
      </c>
      <c r="K180" s="1">
        <v>0</v>
      </c>
      <c r="L180" s="1">
        <v>0</v>
      </c>
      <c r="M180" s="1">
        <v>0</v>
      </c>
    </row>
    <row r="181" spans="1:13" x14ac:dyDescent="0.2">
      <c r="A181" s="1">
        <v>16.7</v>
      </c>
      <c r="B181" s="1">
        <v>11.879999999999999</v>
      </c>
      <c r="C181" s="1">
        <v>11.72</v>
      </c>
      <c r="D181" s="1">
        <v>20.350000000000001</v>
      </c>
      <c r="E181" s="1">
        <v>25.86</v>
      </c>
      <c r="F181" s="1">
        <v>18.87</v>
      </c>
      <c r="G181" s="1">
        <v>7.39</v>
      </c>
      <c r="H181" s="1">
        <v>2.97</v>
      </c>
      <c r="I181" s="1">
        <v>0.95999999999999985</v>
      </c>
      <c r="J181" s="1">
        <v>0</v>
      </c>
      <c r="K181" s="1">
        <v>0</v>
      </c>
      <c r="L181" s="1">
        <v>0</v>
      </c>
      <c r="M181" s="1">
        <v>0</v>
      </c>
    </row>
    <row r="182" spans="1:13" x14ac:dyDescent="0.2">
      <c r="A182" s="1">
        <v>16.8</v>
      </c>
      <c r="B182" s="1">
        <v>9.81</v>
      </c>
      <c r="C182" s="1">
        <v>9.5500000000000007</v>
      </c>
      <c r="D182" s="1">
        <v>22.159999999999997</v>
      </c>
      <c r="E182" s="1">
        <v>27.290000000000003</v>
      </c>
      <c r="F182" s="1">
        <v>18.920000000000002</v>
      </c>
      <c r="G182" s="1">
        <v>7.33</v>
      </c>
      <c r="H182" s="1">
        <v>3.1399999999999997</v>
      </c>
      <c r="I182" s="1">
        <v>1.3599999999999999</v>
      </c>
      <c r="J182" s="1">
        <v>0.45</v>
      </c>
      <c r="K182" s="1">
        <v>0.01</v>
      </c>
      <c r="L182" s="1">
        <v>0</v>
      </c>
      <c r="M182" s="1">
        <v>0</v>
      </c>
    </row>
    <row r="183" spans="1:13" x14ac:dyDescent="0.2">
      <c r="A183" s="1">
        <v>16.899999999999999</v>
      </c>
      <c r="B183" s="1">
        <v>10.39</v>
      </c>
      <c r="C183" s="1">
        <v>10.55</v>
      </c>
      <c r="D183" s="1">
        <v>19.18</v>
      </c>
      <c r="E183" s="1">
        <v>27.13</v>
      </c>
      <c r="F183" s="1">
        <v>20.169999999999998</v>
      </c>
      <c r="G183" s="1">
        <v>8.16</v>
      </c>
      <c r="H183" s="1">
        <v>3.85</v>
      </c>
      <c r="I183" s="1">
        <v>0.54</v>
      </c>
      <c r="J183" s="1">
        <v>0</v>
      </c>
      <c r="K183" s="1">
        <v>0</v>
      </c>
      <c r="L183" s="1">
        <v>0</v>
      </c>
      <c r="M183" s="1">
        <v>0</v>
      </c>
    </row>
    <row r="184" spans="1:13" x14ac:dyDescent="0.2">
      <c r="A184" s="1">
        <v>17</v>
      </c>
      <c r="B184" s="1">
        <v>8.2200000000000006</v>
      </c>
      <c r="C184" s="1">
        <v>9.48</v>
      </c>
      <c r="D184" s="1">
        <v>19.89</v>
      </c>
      <c r="E184" s="1">
        <v>28.02</v>
      </c>
      <c r="F184" s="1">
        <v>19.810000000000002</v>
      </c>
      <c r="G184" s="1">
        <v>6.92</v>
      </c>
      <c r="H184" s="1">
        <v>5.1400000000000006</v>
      </c>
      <c r="I184" s="1">
        <v>2.34</v>
      </c>
      <c r="J184" s="1">
        <v>0.16000000000000003</v>
      </c>
      <c r="K184" s="1">
        <v>0</v>
      </c>
      <c r="L184" s="1">
        <v>0</v>
      </c>
      <c r="M184" s="1">
        <v>0</v>
      </c>
    </row>
    <row r="185" spans="1:13" x14ac:dyDescent="0.2">
      <c r="A185" s="1">
        <v>17.05</v>
      </c>
      <c r="B185" s="1">
        <v>11.15</v>
      </c>
      <c r="C185" s="1">
        <v>11.76</v>
      </c>
      <c r="D185" s="1">
        <v>20.65</v>
      </c>
      <c r="E185" s="1">
        <v>25.32</v>
      </c>
      <c r="F185" s="1">
        <v>16.79</v>
      </c>
      <c r="G185" s="1">
        <v>6.62</v>
      </c>
      <c r="H185" s="1">
        <v>3.29</v>
      </c>
      <c r="I185" s="1">
        <v>1.74</v>
      </c>
      <c r="J185" s="1">
        <v>1.63</v>
      </c>
      <c r="K185" s="1">
        <v>1.0699999999999998</v>
      </c>
      <c r="L185" s="1">
        <v>0</v>
      </c>
      <c r="M185" s="1">
        <v>0</v>
      </c>
    </row>
    <row r="186" spans="1:13" x14ac:dyDescent="0.2">
      <c r="A186" s="1">
        <v>17.100000000000001</v>
      </c>
      <c r="B186" s="1">
        <v>5.92</v>
      </c>
      <c r="C186" s="1">
        <v>7.7299999999999995</v>
      </c>
      <c r="D186" s="1">
        <v>16.25</v>
      </c>
      <c r="E186" s="1">
        <v>28.78</v>
      </c>
      <c r="F186" s="1">
        <v>21.009999999999998</v>
      </c>
      <c r="G186" s="1">
        <v>9.0399999999999991</v>
      </c>
      <c r="H186" s="1">
        <v>6.2800000000000011</v>
      </c>
      <c r="I186" s="1">
        <v>3.27</v>
      </c>
      <c r="J186" s="1">
        <v>1.56</v>
      </c>
      <c r="K186" s="1">
        <v>0.17</v>
      </c>
      <c r="L186" s="1">
        <v>0</v>
      </c>
      <c r="M186" s="1">
        <v>0</v>
      </c>
    </row>
    <row r="187" spans="1:13" x14ac:dyDescent="0.2">
      <c r="A187" s="1">
        <v>17.45</v>
      </c>
      <c r="B187" s="1">
        <v>10.029999999999999</v>
      </c>
      <c r="C187" s="1">
        <v>10.27</v>
      </c>
      <c r="D187" s="1">
        <v>19.77</v>
      </c>
      <c r="E187" s="1">
        <v>27.64</v>
      </c>
      <c r="F187" s="1">
        <v>19.420000000000002</v>
      </c>
      <c r="G187" s="1">
        <v>7.72</v>
      </c>
      <c r="H187" s="1">
        <v>3.7700000000000005</v>
      </c>
      <c r="I187" s="1">
        <v>1.29</v>
      </c>
      <c r="J187" s="1">
        <v>0.1</v>
      </c>
      <c r="K187" s="1">
        <v>0</v>
      </c>
      <c r="L187" s="1">
        <v>0</v>
      </c>
      <c r="M187" s="1">
        <v>0</v>
      </c>
    </row>
    <row r="188" spans="1:13" x14ac:dyDescent="0.2">
      <c r="A188" s="1">
        <v>17.5</v>
      </c>
      <c r="B188" s="1">
        <v>10.86</v>
      </c>
      <c r="C188" s="1">
        <v>11</v>
      </c>
      <c r="D188" s="1">
        <v>20.490000000000002</v>
      </c>
      <c r="E188" s="1">
        <v>27.109999999999996</v>
      </c>
      <c r="F188" s="1">
        <v>18.41</v>
      </c>
      <c r="G188" s="1">
        <v>7.7900000000000009</v>
      </c>
      <c r="H188" s="1">
        <v>3.2199999999999998</v>
      </c>
      <c r="I188" s="1">
        <v>1.0699999999999998</v>
      </c>
      <c r="J188" s="1">
        <v>0.03</v>
      </c>
      <c r="K188" s="1">
        <v>0</v>
      </c>
      <c r="L188" s="1">
        <v>0</v>
      </c>
      <c r="M188" s="1">
        <v>0</v>
      </c>
    </row>
    <row r="189" spans="1:13" x14ac:dyDescent="0.2">
      <c r="A189" s="1">
        <v>17.600000000000001</v>
      </c>
      <c r="B189" s="1">
        <v>9.9399999999999977</v>
      </c>
      <c r="C189" s="1">
        <v>10.639999999999999</v>
      </c>
      <c r="D189" s="1">
        <v>18.490000000000002</v>
      </c>
      <c r="E189" s="1">
        <v>26.589999999999996</v>
      </c>
      <c r="F189" s="1">
        <v>20.16</v>
      </c>
      <c r="G189" s="1">
        <v>8.77</v>
      </c>
      <c r="H189" s="1">
        <v>4.09</v>
      </c>
      <c r="I189" s="1">
        <v>1.2900000000000003</v>
      </c>
      <c r="J189" s="1">
        <v>0.02</v>
      </c>
      <c r="K189" s="1">
        <v>0</v>
      </c>
      <c r="L189" s="1">
        <v>0</v>
      </c>
      <c r="M189" s="1">
        <v>0</v>
      </c>
    </row>
    <row r="190" spans="1:13" x14ac:dyDescent="0.2">
      <c r="A190" s="1">
        <v>17.7</v>
      </c>
      <c r="B190" s="1">
        <v>8.620000000000001</v>
      </c>
      <c r="C190" s="1">
        <v>9.32</v>
      </c>
      <c r="D190" s="1">
        <v>17.079999999999998</v>
      </c>
      <c r="E190" s="1">
        <v>25.449999999999996</v>
      </c>
      <c r="F190" s="1">
        <v>20.639999999999997</v>
      </c>
      <c r="G190" s="1">
        <v>11.260000000000002</v>
      </c>
      <c r="H190" s="1">
        <v>5.2200000000000006</v>
      </c>
      <c r="I190" s="1">
        <v>1.96</v>
      </c>
      <c r="J190" s="1">
        <v>0.47000000000000003</v>
      </c>
      <c r="K190" s="1">
        <v>0</v>
      </c>
      <c r="L190" s="1">
        <v>0</v>
      </c>
      <c r="M190" s="1">
        <v>0</v>
      </c>
    </row>
    <row r="191" spans="1:13" x14ac:dyDescent="0.2">
      <c r="A191" s="1">
        <v>17.8</v>
      </c>
      <c r="B191" s="1">
        <v>7.96</v>
      </c>
      <c r="C191" s="1">
        <v>8.73</v>
      </c>
      <c r="D191" s="1">
        <v>16.59</v>
      </c>
      <c r="E191" s="1">
        <v>26.33</v>
      </c>
      <c r="F191" s="1">
        <v>21.01</v>
      </c>
      <c r="G191" s="1">
        <v>10.93</v>
      </c>
      <c r="H191" s="1">
        <v>5.6</v>
      </c>
      <c r="I191" s="1">
        <v>2.17</v>
      </c>
      <c r="J191" s="1">
        <v>0.65999999999999992</v>
      </c>
      <c r="K191" s="1">
        <v>0.02</v>
      </c>
      <c r="L191" s="1">
        <v>0</v>
      </c>
      <c r="M191" s="1">
        <v>0</v>
      </c>
    </row>
    <row r="192" spans="1:13" x14ac:dyDescent="0.2">
      <c r="A192" s="1">
        <v>18</v>
      </c>
      <c r="B192" s="1">
        <v>6.8100000000000005</v>
      </c>
      <c r="C192" s="1">
        <v>7.35</v>
      </c>
      <c r="D192" s="1">
        <v>17.04</v>
      </c>
      <c r="E192" s="1">
        <v>28.32</v>
      </c>
      <c r="F192" s="1">
        <v>20.740000000000002</v>
      </c>
      <c r="G192" s="1">
        <v>8.9</v>
      </c>
      <c r="H192" s="1">
        <v>5.82</v>
      </c>
      <c r="I192" s="1">
        <v>2.7800000000000002</v>
      </c>
      <c r="J192" s="1">
        <v>1.8399999999999999</v>
      </c>
      <c r="K192" s="1">
        <v>0.4</v>
      </c>
      <c r="L192" s="1">
        <v>0</v>
      </c>
      <c r="M192" s="1">
        <v>0</v>
      </c>
    </row>
    <row r="193" spans="1:13" x14ac:dyDescent="0.2">
      <c r="A193" s="1">
        <v>18.149999999999999</v>
      </c>
      <c r="B193" s="1">
        <v>7.4499999999999993</v>
      </c>
      <c r="C193" s="1">
        <v>7.61</v>
      </c>
      <c r="D193" s="1">
        <v>13.05</v>
      </c>
      <c r="E193" s="1">
        <v>19.170000000000002</v>
      </c>
      <c r="F193" s="1">
        <v>19.809999999999999</v>
      </c>
      <c r="G193" s="1">
        <v>14.979999999999999</v>
      </c>
      <c r="H193" s="1">
        <v>9.2399999999999984</v>
      </c>
      <c r="I193" s="1">
        <v>6.83</v>
      </c>
      <c r="J193" s="1">
        <v>1.8599999999999999</v>
      </c>
      <c r="K193" s="1">
        <v>0</v>
      </c>
      <c r="L193" s="1">
        <v>0</v>
      </c>
      <c r="M193" s="1">
        <v>0</v>
      </c>
    </row>
    <row r="194" spans="1:13" x14ac:dyDescent="0.2">
      <c r="A194" s="1">
        <v>18.2</v>
      </c>
      <c r="B194" s="1">
        <v>13.059999999999999</v>
      </c>
      <c r="C194" s="1">
        <v>26.07</v>
      </c>
      <c r="D194" s="1">
        <v>36.79</v>
      </c>
      <c r="E194" s="1">
        <v>16.97</v>
      </c>
      <c r="F194" s="1">
        <v>4.63</v>
      </c>
      <c r="G194" s="1">
        <v>1.73</v>
      </c>
      <c r="H194" s="1">
        <v>0.64</v>
      </c>
      <c r="I194" s="1">
        <v>0.11</v>
      </c>
      <c r="J194" s="1">
        <v>0</v>
      </c>
      <c r="K194" s="1">
        <v>0</v>
      </c>
      <c r="L194" s="1">
        <v>0</v>
      </c>
      <c r="M194" s="1">
        <v>0</v>
      </c>
    </row>
    <row r="195" spans="1:13" x14ac:dyDescent="0.2">
      <c r="A195" s="1">
        <v>18.3</v>
      </c>
      <c r="B195" s="1">
        <v>6.06</v>
      </c>
      <c r="C195" s="1">
        <v>9.0399999999999991</v>
      </c>
      <c r="D195" s="1">
        <v>17.420000000000002</v>
      </c>
      <c r="E195" s="1">
        <v>25.340000000000003</v>
      </c>
      <c r="F195" s="1">
        <v>21.86</v>
      </c>
      <c r="G195" s="1">
        <v>11.87</v>
      </c>
      <c r="H195" s="1">
        <v>5.48</v>
      </c>
      <c r="I195" s="1">
        <v>2.6</v>
      </c>
      <c r="J195" s="1">
        <v>0.29000000000000004</v>
      </c>
      <c r="K195" s="1">
        <v>0</v>
      </c>
      <c r="L195" s="1">
        <v>0</v>
      </c>
      <c r="M195" s="1">
        <v>0</v>
      </c>
    </row>
    <row r="196" spans="1:13" x14ac:dyDescent="0.2">
      <c r="A196" s="1">
        <v>18.399999999999999</v>
      </c>
      <c r="B196" s="1">
        <v>7.2499999999999991</v>
      </c>
      <c r="C196" s="1">
        <v>10.27</v>
      </c>
      <c r="D196" s="1">
        <v>19.299999999999997</v>
      </c>
      <c r="E196" s="1">
        <v>24.99</v>
      </c>
      <c r="F196" s="1">
        <v>21.08</v>
      </c>
      <c r="G196" s="1">
        <v>11.940000000000001</v>
      </c>
      <c r="H196" s="1">
        <v>4.0399999999999991</v>
      </c>
      <c r="I196" s="1">
        <v>0.91</v>
      </c>
      <c r="J196" s="1">
        <v>0.19</v>
      </c>
      <c r="K196" s="1">
        <v>0</v>
      </c>
      <c r="L196" s="1">
        <v>0</v>
      </c>
      <c r="M196" s="1">
        <v>0</v>
      </c>
    </row>
    <row r="197" spans="1:13" x14ac:dyDescent="0.2">
      <c r="A197" s="1">
        <v>18.5</v>
      </c>
      <c r="B197" s="1">
        <v>7.77</v>
      </c>
      <c r="C197" s="1">
        <v>10.629999999999999</v>
      </c>
      <c r="D197" s="1">
        <v>19.229999999999997</v>
      </c>
      <c r="E197" s="1">
        <v>24.240000000000002</v>
      </c>
      <c r="F197" s="1">
        <v>20.52</v>
      </c>
      <c r="G197" s="1">
        <v>11.799999999999999</v>
      </c>
      <c r="H197" s="1">
        <v>4.25</v>
      </c>
      <c r="I197" s="1">
        <v>1</v>
      </c>
      <c r="J197" s="1">
        <v>0.53</v>
      </c>
      <c r="K197" s="1">
        <v>0.01</v>
      </c>
      <c r="L197" s="1">
        <v>0</v>
      </c>
      <c r="M197" s="1">
        <v>0</v>
      </c>
    </row>
    <row r="198" spans="1:13" x14ac:dyDescent="0.2">
      <c r="A198" s="1">
        <v>18.55</v>
      </c>
      <c r="B198" s="1">
        <v>7.1800000000000006</v>
      </c>
      <c r="C198" s="1">
        <v>10.11</v>
      </c>
      <c r="D198" s="1">
        <v>18.97</v>
      </c>
      <c r="E198" s="1">
        <v>24.47</v>
      </c>
      <c r="F198" s="1">
        <v>21.47</v>
      </c>
      <c r="G198" s="1">
        <v>12.46</v>
      </c>
      <c r="H198" s="1">
        <v>4.1000000000000005</v>
      </c>
      <c r="I198" s="1">
        <v>1.03</v>
      </c>
      <c r="J198" s="1">
        <v>0.18999999999999997</v>
      </c>
      <c r="K198" s="1">
        <v>0</v>
      </c>
      <c r="L198" s="1">
        <v>0</v>
      </c>
      <c r="M198" s="1">
        <v>0</v>
      </c>
    </row>
    <row r="199" spans="1:13" x14ac:dyDescent="0.2">
      <c r="A199" s="1">
        <v>18.8</v>
      </c>
      <c r="B199" s="1">
        <v>7.3500000000000005</v>
      </c>
      <c r="C199" s="1">
        <v>10.559999999999999</v>
      </c>
      <c r="D199" s="1">
        <v>19.670000000000002</v>
      </c>
      <c r="E199" s="1">
        <v>25.119999999999997</v>
      </c>
      <c r="F199" s="1">
        <v>21.319999999999997</v>
      </c>
      <c r="G199" s="1">
        <v>11.36</v>
      </c>
      <c r="H199" s="1">
        <v>3.3</v>
      </c>
      <c r="I199" s="1">
        <v>0.75</v>
      </c>
      <c r="J199" s="1">
        <v>0.54999999999999993</v>
      </c>
      <c r="K199" s="1">
        <v>6.0000000000000005E-2</v>
      </c>
      <c r="L199" s="1">
        <v>0</v>
      </c>
      <c r="M199" s="1">
        <v>0</v>
      </c>
    </row>
    <row r="200" spans="1:13" x14ac:dyDescent="0.2">
      <c r="A200" s="1">
        <v>18.899999999999999</v>
      </c>
      <c r="B200" s="1">
        <v>8.2899999999999991</v>
      </c>
      <c r="C200" s="1">
        <v>10.68</v>
      </c>
      <c r="D200" s="1">
        <v>19.98</v>
      </c>
      <c r="E200" s="1">
        <v>26.939999999999998</v>
      </c>
      <c r="F200" s="1">
        <v>22.09</v>
      </c>
      <c r="G200" s="1">
        <v>9.5400000000000009</v>
      </c>
      <c r="H200" s="1">
        <v>2</v>
      </c>
      <c r="I200" s="1">
        <v>0.31000000000000005</v>
      </c>
      <c r="J200" s="1">
        <v>0.15</v>
      </c>
      <c r="K200" s="1">
        <v>0.01</v>
      </c>
      <c r="L200" s="1">
        <v>0</v>
      </c>
      <c r="M200" s="1">
        <v>0</v>
      </c>
    </row>
    <row r="201" spans="1:13" x14ac:dyDescent="0.2">
      <c r="A201" s="1">
        <v>19</v>
      </c>
      <c r="B201" s="1">
        <v>7.46</v>
      </c>
      <c r="C201" s="1">
        <v>10.87</v>
      </c>
      <c r="D201" s="1">
        <v>21.27</v>
      </c>
      <c r="E201" s="1">
        <v>26.75</v>
      </c>
      <c r="F201" s="1">
        <v>20.82</v>
      </c>
      <c r="G201" s="1">
        <v>9.33</v>
      </c>
      <c r="H201" s="1">
        <v>2.21</v>
      </c>
      <c r="I201" s="1">
        <v>0.52999999999999992</v>
      </c>
      <c r="J201" s="1">
        <v>0.59000000000000008</v>
      </c>
      <c r="K201" s="1">
        <v>0.18999999999999997</v>
      </c>
      <c r="L201" s="1">
        <v>0</v>
      </c>
      <c r="M201" s="1">
        <v>0</v>
      </c>
    </row>
    <row r="202" spans="1:13" x14ac:dyDescent="0.2">
      <c r="A202" s="1">
        <v>19.100000000000001</v>
      </c>
      <c r="B202" s="1">
        <v>8.2800000000000011</v>
      </c>
      <c r="C202" s="1">
        <v>10.620000000000001</v>
      </c>
      <c r="D202" s="1">
        <v>18.740000000000002</v>
      </c>
      <c r="E202" s="1">
        <v>24.240000000000002</v>
      </c>
      <c r="F202" s="1">
        <v>21.36</v>
      </c>
      <c r="G202" s="1">
        <v>11.66</v>
      </c>
      <c r="H202" s="1">
        <v>3.5</v>
      </c>
      <c r="I202" s="1">
        <v>0.7</v>
      </c>
      <c r="J202" s="1">
        <v>0.71000000000000008</v>
      </c>
      <c r="K202" s="1">
        <v>0.18</v>
      </c>
      <c r="L202" s="1">
        <v>0</v>
      </c>
      <c r="M202" s="1">
        <v>0</v>
      </c>
    </row>
    <row r="203" spans="1:13" x14ac:dyDescent="0.2">
      <c r="A203" s="1">
        <v>19.2</v>
      </c>
      <c r="B203" s="1">
        <v>7.83</v>
      </c>
      <c r="C203" s="1">
        <v>11.14</v>
      </c>
      <c r="D203" s="1">
        <v>21.02</v>
      </c>
      <c r="E203" s="1">
        <v>26.119999999999997</v>
      </c>
      <c r="F203" s="1">
        <v>20.55</v>
      </c>
      <c r="G203" s="1">
        <v>9.4600000000000009</v>
      </c>
      <c r="H203" s="1">
        <v>2.62</v>
      </c>
      <c r="I203" s="1">
        <v>0.67999999999999994</v>
      </c>
      <c r="J203" s="1">
        <v>0.47</v>
      </c>
      <c r="K203" s="1">
        <v>0.13</v>
      </c>
      <c r="L203" s="1">
        <v>0</v>
      </c>
      <c r="M203" s="1">
        <v>0</v>
      </c>
    </row>
    <row r="204" spans="1:13" x14ac:dyDescent="0.2">
      <c r="A204" s="1">
        <v>19.3</v>
      </c>
      <c r="B204" s="1">
        <v>8.2800000000000011</v>
      </c>
      <c r="C204" s="1">
        <v>11.059999999999999</v>
      </c>
      <c r="D204" s="1">
        <v>20.14</v>
      </c>
      <c r="E204" s="1">
        <v>26.68</v>
      </c>
      <c r="F204" s="1">
        <v>22.000000000000004</v>
      </c>
      <c r="G204" s="1">
        <v>9.43</v>
      </c>
      <c r="H204" s="1">
        <v>2.08</v>
      </c>
      <c r="I204" s="1">
        <v>0.33000000000000007</v>
      </c>
      <c r="J204" s="1">
        <v>0</v>
      </c>
      <c r="K204" s="1">
        <v>0</v>
      </c>
      <c r="L204" s="1">
        <v>0</v>
      </c>
      <c r="M204" s="1">
        <v>0</v>
      </c>
    </row>
    <row r="205" spans="1:13" x14ac:dyDescent="0.2">
      <c r="A205" s="1">
        <v>19.350000000000001</v>
      </c>
      <c r="B205" s="1">
        <v>8.42</v>
      </c>
      <c r="C205" s="1">
        <v>11.030000000000001</v>
      </c>
      <c r="D205" s="1">
        <v>19.97</v>
      </c>
      <c r="E205" s="1">
        <v>26.25</v>
      </c>
      <c r="F205" s="1">
        <v>21.05</v>
      </c>
      <c r="G205" s="1">
        <v>9.3000000000000007</v>
      </c>
      <c r="H205" s="1">
        <v>2.41</v>
      </c>
      <c r="I205" s="1">
        <v>0.7</v>
      </c>
      <c r="J205" s="1">
        <v>0.73000000000000009</v>
      </c>
      <c r="K205" s="1">
        <v>0.14000000000000001</v>
      </c>
      <c r="L205" s="1">
        <v>0</v>
      </c>
      <c r="M205" s="1">
        <v>0</v>
      </c>
    </row>
    <row r="206" spans="1:13" x14ac:dyDescent="0.2">
      <c r="A206" s="1">
        <v>19.55</v>
      </c>
      <c r="B206" s="1">
        <v>9.9</v>
      </c>
      <c r="C206" s="1">
        <v>12.52</v>
      </c>
      <c r="D206" s="1">
        <v>20.900000000000002</v>
      </c>
      <c r="E206" s="1">
        <v>25.3</v>
      </c>
      <c r="F206" s="1">
        <v>18.989999999999998</v>
      </c>
      <c r="G206" s="1">
        <v>8.2000000000000011</v>
      </c>
      <c r="H206" s="1">
        <v>2.1800000000000002</v>
      </c>
      <c r="I206" s="1">
        <v>0.65</v>
      </c>
      <c r="J206" s="1">
        <v>0.8</v>
      </c>
      <c r="K206" s="1">
        <v>0.54</v>
      </c>
      <c r="L206" s="1">
        <v>0</v>
      </c>
      <c r="M206" s="1">
        <v>0</v>
      </c>
    </row>
    <row r="207" spans="1:13" x14ac:dyDescent="0.2">
      <c r="A207" s="1">
        <v>19.600000000000001</v>
      </c>
      <c r="B207" s="1">
        <v>9.2600000000000016</v>
      </c>
      <c r="C207" s="1">
        <v>12.15</v>
      </c>
      <c r="D207" s="1">
        <v>20.549999999999997</v>
      </c>
      <c r="E207" s="1">
        <v>25.069999999999997</v>
      </c>
      <c r="F207" s="1">
        <v>19.21</v>
      </c>
      <c r="G207" s="1">
        <v>8.620000000000001</v>
      </c>
      <c r="H207" s="1">
        <v>2.5299999999999998</v>
      </c>
      <c r="I207" s="1">
        <v>1.1299999999999999</v>
      </c>
      <c r="J207" s="1">
        <v>1.19</v>
      </c>
      <c r="K207" s="1">
        <v>0.26</v>
      </c>
      <c r="L207" s="1">
        <v>0</v>
      </c>
      <c r="M207" s="1">
        <v>0</v>
      </c>
    </row>
    <row r="208" spans="1:13" x14ac:dyDescent="0.2">
      <c r="A208" s="1">
        <v>19.7</v>
      </c>
      <c r="B208" s="1">
        <v>8.76</v>
      </c>
      <c r="C208" s="1">
        <v>11.219999999999999</v>
      </c>
      <c r="D208" s="1">
        <v>20.38</v>
      </c>
      <c r="E208" s="1">
        <v>26.689999999999998</v>
      </c>
      <c r="F208" s="1">
        <v>20.799999999999997</v>
      </c>
      <c r="G208" s="1">
        <v>8.7200000000000006</v>
      </c>
      <c r="H208" s="1">
        <v>2.04</v>
      </c>
      <c r="I208" s="1">
        <v>0.57999999999999996</v>
      </c>
      <c r="J208" s="1">
        <v>0.65</v>
      </c>
      <c r="K208" s="1">
        <v>0.14000000000000001</v>
      </c>
      <c r="L208" s="1">
        <v>0</v>
      </c>
      <c r="M208" s="1">
        <v>0</v>
      </c>
    </row>
    <row r="209" spans="1:13" x14ac:dyDescent="0.2">
      <c r="A209" s="1">
        <v>19.8</v>
      </c>
      <c r="B209" s="1">
        <v>9.36</v>
      </c>
      <c r="C209" s="1">
        <v>13.2</v>
      </c>
      <c r="D209" s="1">
        <v>22.609999999999996</v>
      </c>
      <c r="E209" s="1">
        <v>26.990000000000002</v>
      </c>
      <c r="F209" s="1">
        <v>19.550000000000004</v>
      </c>
      <c r="G209" s="1">
        <v>7.0499999999999989</v>
      </c>
      <c r="H209" s="1">
        <v>1.2</v>
      </c>
      <c r="I209" s="1">
        <v>0.03</v>
      </c>
      <c r="J209" s="1">
        <v>0</v>
      </c>
      <c r="K209" s="1">
        <v>0</v>
      </c>
      <c r="L209" s="1">
        <v>0</v>
      </c>
      <c r="M209" s="1">
        <v>0</v>
      </c>
    </row>
    <row r="210" spans="1:13" x14ac:dyDescent="0.2">
      <c r="A210" s="1">
        <v>19.899999999999999</v>
      </c>
      <c r="B210" s="1">
        <v>9.58</v>
      </c>
      <c r="C210" s="1">
        <v>13.409999999999998</v>
      </c>
      <c r="D210" s="1">
        <v>22.71</v>
      </c>
      <c r="E210" s="1">
        <v>25.86</v>
      </c>
      <c r="F210" s="1">
        <v>18.669999999999998</v>
      </c>
      <c r="G210" s="1">
        <v>7.3699999999999992</v>
      </c>
      <c r="H210" s="1">
        <v>1.37</v>
      </c>
      <c r="I210" s="1">
        <v>0.37000000000000005</v>
      </c>
      <c r="J210" s="1">
        <v>0.5</v>
      </c>
      <c r="K210" s="1">
        <v>0.17</v>
      </c>
      <c r="L210" s="1">
        <v>0</v>
      </c>
      <c r="M210" s="1">
        <v>0</v>
      </c>
    </row>
    <row r="211" spans="1:13" x14ac:dyDescent="0.2">
      <c r="A211" s="1">
        <v>20</v>
      </c>
      <c r="B211" s="1">
        <v>6.0400000000000009</v>
      </c>
      <c r="C211" s="1">
        <v>8.620000000000001</v>
      </c>
      <c r="D211" s="1">
        <v>18.5</v>
      </c>
      <c r="E211" s="1">
        <v>28.05</v>
      </c>
      <c r="F211" s="1">
        <v>24.72</v>
      </c>
      <c r="G211" s="1">
        <v>11.01</v>
      </c>
      <c r="H211" s="1">
        <v>2.15</v>
      </c>
      <c r="I211" s="1">
        <v>0.69000000000000006</v>
      </c>
      <c r="J211" s="1">
        <v>0.19999999999999998</v>
      </c>
      <c r="K211" s="1">
        <v>0</v>
      </c>
      <c r="L211" s="1">
        <v>0</v>
      </c>
      <c r="M211" s="1">
        <v>0</v>
      </c>
    </row>
    <row r="212" spans="1:13" x14ac:dyDescent="0.2">
      <c r="A212" s="1">
        <v>20.100000000000001</v>
      </c>
      <c r="B212" s="1">
        <v>9.3800000000000008</v>
      </c>
      <c r="C212" s="1">
        <v>11.100000000000001</v>
      </c>
      <c r="D212" s="1">
        <v>19.27</v>
      </c>
      <c r="E212" s="1">
        <v>26.020000000000003</v>
      </c>
      <c r="F212" s="1">
        <v>21.97</v>
      </c>
      <c r="G212" s="1">
        <v>9.0499999999999989</v>
      </c>
      <c r="H212" s="1">
        <v>1.9000000000000001</v>
      </c>
      <c r="I212" s="1">
        <v>0.55000000000000004</v>
      </c>
      <c r="J212" s="1">
        <v>0.5</v>
      </c>
      <c r="K212" s="1">
        <v>0.25</v>
      </c>
      <c r="L212" s="1">
        <v>0</v>
      </c>
      <c r="M212" s="1">
        <v>0</v>
      </c>
    </row>
    <row r="213" spans="1:13" x14ac:dyDescent="0.2">
      <c r="A213" s="1">
        <v>20.2</v>
      </c>
      <c r="B213" s="1">
        <v>5.57</v>
      </c>
      <c r="C213" s="1">
        <v>7.84</v>
      </c>
      <c r="D213" s="1">
        <v>17.07</v>
      </c>
      <c r="E213" s="1">
        <v>27.439999999999998</v>
      </c>
      <c r="F213" s="1">
        <v>26.210000000000004</v>
      </c>
      <c r="G213" s="1">
        <v>12.79</v>
      </c>
      <c r="H213" s="1">
        <v>2.6</v>
      </c>
      <c r="I213" s="1">
        <v>0.45999999999999996</v>
      </c>
      <c r="J213" s="1">
        <v>0.02</v>
      </c>
      <c r="K213" s="1">
        <v>0</v>
      </c>
      <c r="L213" s="1">
        <v>0</v>
      </c>
      <c r="M213" s="1">
        <v>0</v>
      </c>
    </row>
    <row r="214" spans="1:13" x14ac:dyDescent="0.2">
      <c r="A214" s="1">
        <v>20.3</v>
      </c>
      <c r="B214" s="1">
        <v>6.08</v>
      </c>
      <c r="C214" s="1">
        <v>8.5</v>
      </c>
      <c r="D214" s="1">
        <v>18.09</v>
      </c>
      <c r="E214" s="1">
        <v>28.15</v>
      </c>
      <c r="F214" s="1">
        <v>25.310000000000002</v>
      </c>
      <c r="G214" s="1">
        <v>11.29</v>
      </c>
      <c r="H214" s="1">
        <v>1.9899999999999998</v>
      </c>
      <c r="I214" s="1">
        <v>0.49000000000000005</v>
      </c>
      <c r="J214" s="1">
        <v>6.0000000000000005E-2</v>
      </c>
      <c r="K214" s="1">
        <v>0</v>
      </c>
      <c r="L214" s="1">
        <v>0</v>
      </c>
      <c r="M21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2023-12-23T21:05:45Z</dcterms:created>
  <dcterms:modified xsi:type="dcterms:W3CDTF">2025-08-11T11:41:59Z</dcterms:modified>
</cp:coreProperties>
</file>