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_top/"/>
    </mc:Choice>
  </mc:AlternateContent>
  <xr:revisionPtr revIDLastSave="0" documentId="13_ncr:1_{C63D8ED7-997B-734D-B5B0-476AE644A58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N34" i="1" l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<sst xmlns="http://schemas.openxmlformats.org/spreadsheetml/2006/main" count="33" uniqueCount="33">
  <si>
    <t>№ п/п</t>
  </si>
  <si>
    <t>CaCO3, %</t>
  </si>
  <si>
    <t>Влажность, %</t>
  </si>
  <si>
    <t>Терригенное ве-во, %</t>
  </si>
  <si>
    <t>&lt;2.0</t>
  </si>
  <si>
    <t>2.0-4.0</t>
  </si>
  <si>
    <t>4.0-8.0</t>
  </si>
  <si>
    <t>8.0-16.0</t>
  </si>
  <si>
    <t>16.0-31.0</t>
  </si>
  <si>
    <t>31.0-63.0</t>
  </si>
  <si>
    <t>63.0-125.0</t>
  </si>
  <si>
    <t>125.0-250.0</t>
  </si>
  <si>
    <t>250.0-500.0</t>
  </si>
  <si>
    <t>500.0-1000.0</t>
  </si>
  <si>
    <t>1000.0-2000.0</t>
  </si>
  <si>
    <t>&gt;2000</t>
  </si>
  <si>
    <t>Dx (50)</t>
  </si>
  <si>
    <t>500HZ</t>
  </si>
  <si>
    <t>4000Hz</t>
  </si>
  <si>
    <t>FD, %</t>
  </si>
  <si>
    <t>FD_cc</t>
  </si>
  <si>
    <t>L*(D65)</t>
  </si>
  <si>
    <t>a*(D65)</t>
  </si>
  <si>
    <t>b*(D65)</t>
  </si>
  <si>
    <t>Cs-137, Bq/kg</t>
  </si>
  <si>
    <t>Pb-210, Bq/kg</t>
  </si>
  <si>
    <t>Ra-226, Bq/kg</t>
  </si>
  <si>
    <t>Kas-17</t>
  </si>
  <si>
    <t>Гл.по верху, см</t>
  </si>
  <si>
    <t>глубина абсолютная</t>
  </si>
  <si>
    <t>loi550</t>
  </si>
  <si>
    <t>loi950</t>
  </si>
  <si>
    <t>volweight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</si>
</sst>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1" xfId="0" applyNumberFormat="1" applyBorder="1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loi550</c:v>
                </c:pt>
              </c:strCache>
            </c:strRef>
          </c:tx>
          <c:xVal>
            <c:numRef>
              <c:f>Лист1!$I$2:$I$34</c:f>
              <c:numCache>
                <c:formatCode>0.00</c:formatCode>
                <c:ptCount val="33"/>
                <c:pt idx="0">
                  <c:v>16.55172413793116</c:v>
                </c:pt>
                <c:pt idx="1">
                  <c:v>16.216216216216107</c:v>
                </c:pt>
                <c:pt idx="2">
                  <c:v>15.577889447236116</c:v>
                </c:pt>
                <c:pt idx="3">
                  <c:v>15.441176470588175</c:v>
                </c:pt>
                <c:pt idx="4">
                  <c:v>15.384615384615538</c:v>
                </c:pt>
                <c:pt idx="5">
                  <c:v>14.976958525345591</c:v>
                </c:pt>
                <c:pt idx="6">
                  <c:v>14.317673378076073</c:v>
                </c:pt>
                <c:pt idx="7">
                  <c:v>12.800000000000011</c:v>
                </c:pt>
                <c:pt idx="8">
                  <c:v>12.525252525252482</c:v>
                </c:pt>
                <c:pt idx="9">
                  <c:v>11.858407079645989</c:v>
                </c:pt>
                <c:pt idx="10">
                  <c:v>11.84210526315788</c:v>
                </c:pt>
                <c:pt idx="11">
                  <c:v>11.311475409836085</c:v>
                </c:pt>
                <c:pt idx="12">
                  <c:v>10.862619808306704</c:v>
                </c:pt>
                <c:pt idx="13">
                  <c:v>10.192023633677959</c:v>
                </c:pt>
                <c:pt idx="14">
                  <c:v>9.8011363636363793</c:v>
                </c:pt>
                <c:pt idx="15">
                  <c:v>9.2827004219409286</c:v>
                </c:pt>
                <c:pt idx="16">
                  <c:v>8.5677749360614026</c:v>
                </c:pt>
                <c:pt idx="17">
                  <c:v>8.2666666666666355</c:v>
                </c:pt>
                <c:pt idx="18">
                  <c:v>8.0901856763925668</c:v>
                </c:pt>
                <c:pt idx="19">
                  <c:v>8.6792452830188829</c:v>
                </c:pt>
                <c:pt idx="20">
                  <c:v>9.8339719029374155</c:v>
                </c:pt>
                <c:pt idx="21">
                  <c:v>12.533692722371962</c:v>
                </c:pt>
                <c:pt idx="22">
                  <c:v>17.205882352941199</c:v>
                </c:pt>
                <c:pt idx="23">
                  <c:v>20.281690140845086</c:v>
                </c:pt>
                <c:pt idx="24">
                  <c:v>21.855345911949691</c:v>
                </c:pt>
                <c:pt idx="25">
                  <c:v>21.194029850746244</c:v>
                </c:pt>
                <c:pt idx="26">
                  <c:v>19.584569732937695</c:v>
                </c:pt>
                <c:pt idx="27">
                  <c:v>17.857142857142865</c:v>
                </c:pt>
                <c:pt idx="28">
                  <c:v>17.142857142857139</c:v>
                </c:pt>
                <c:pt idx="29">
                  <c:v>16.570605187319863</c:v>
                </c:pt>
                <c:pt idx="30">
                  <c:v>16.116248348745035</c:v>
                </c:pt>
                <c:pt idx="31">
                  <c:v>16.334661354581677</c:v>
                </c:pt>
                <c:pt idx="32">
                  <c:v>15.810276679841889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C-1D49-AF40-DAFDFA3EA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3184"/>
        <c:axId val="105134720"/>
      </c:scatterChart>
      <c:valAx>
        <c:axId val="105133184"/>
        <c:scaling>
          <c:orientation val="minMax"/>
        </c:scaling>
        <c:delete val="0"/>
        <c:axPos val="t"/>
        <c:numFmt formatCode="0.00" sourceLinked="1"/>
        <c:majorTickMark val="out"/>
        <c:minorTickMark val="none"/>
        <c:tickLblPos val="nextTo"/>
        <c:crossAx val="105134720"/>
        <c:crosses val="autoZero"/>
        <c:crossBetween val="midCat"/>
      </c:valAx>
      <c:valAx>
        <c:axId val="105134720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133184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8893799999999999"/>
          <c:y val="0.18279500000000001"/>
          <c:w val="0.67447699999999999"/>
          <c:h val="0.78098100000000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Лист1!$K$1</c:f>
              <c:strCache>
                <c:ptCount val="1"/>
                <c:pt idx="0">
                  <c:v>CaCO3, %</c:v>
                </c:pt>
              </c:strCache>
            </c:strRef>
          </c:tx>
          <c:xVal>
            <c:numRef>
              <c:f>Лист1!$K$2:$K$34</c:f>
              <c:numCache>
                <c:formatCode>0.00</c:formatCode>
                <c:ptCount val="33"/>
                <c:pt idx="0">
                  <c:v>31.310344827586075</c:v>
                </c:pt>
                <c:pt idx="1">
                  <c:v>32.209459459459588</c:v>
                </c:pt>
                <c:pt idx="2">
                  <c:v>33.080402010050562</c:v>
                </c:pt>
                <c:pt idx="3">
                  <c:v>33.382352941176663</c:v>
                </c:pt>
                <c:pt idx="4">
                  <c:v>31.748251748251601</c:v>
                </c:pt>
                <c:pt idx="5">
                  <c:v>28.767281105990822</c:v>
                </c:pt>
                <c:pt idx="6">
                  <c:v>25.391498881431765</c:v>
                </c:pt>
                <c:pt idx="7">
                  <c:v>18.614000000000008</c:v>
                </c:pt>
                <c:pt idx="8">
                  <c:v>16.967676767676824</c:v>
                </c:pt>
                <c:pt idx="9">
                  <c:v>13.660176991150442</c:v>
                </c:pt>
                <c:pt idx="10">
                  <c:v>11.093984962405932</c:v>
                </c:pt>
                <c:pt idx="11">
                  <c:v>9.6754098360656311</c:v>
                </c:pt>
                <c:pt idx="12">
                  <c:v>8.3402555910543281</c:v>
                </c:pt>
                <c:pt idx="13">
                  <c:v>7.7119645494830289</c:v>
                </c:pt>
                <c:pt idx="14">
                  <c:v>6.4488636363636127</c:v>
                </c:pt>
                <c:pt idx="15">
                  <c:v>4.7890295358649322</c:v>
                </c:pt>
                <c:pt idx="16">
                  <c:v>4.3542199488490638</c:v>
                </c:pt>
                <c:pt idx="17">
                  <c:v>4.5400000000000658</c:v>
                </c:pt>
                <c:pt idx="18">
                  <c:v>4.2148541114058533</c:v>
                </c:pt>
                <c:pt idx="19">
                  <c:v>3.7119496855345622</c:v>
                </c:pt>
                <c:pt idx="20">
                  <c:v>3.7688378033205328</c:v>
                </c:pt>
                <c:pt idx="21">
                  <c:v>4.8948787061994645</c:v>
                </c:pt>
                <c:pt idx="22">
                  <c:v>7.0102941176470868</c:v>
                </c:pt>
                <c:pt idx="23">
                  <c:v>8.9521126760562595</c:v>
                </c:pt>
                <c:pt idx="24">
                  <c:v>8.9229559748427647</c:v>
                </c:pt>
                <c:pt idx="25">
                  <c:v>9.1477611940298367</c:v>
                </c:pt>
                <c:pt idx="26">
                  <c:v>9.0934718100890102</c:v>
                </c:pt>
                <c:pt idx="27">
                  <c:v>9.6662087912088612</c:v>
                </c:pt>
                <c:pt idx="28">
                  <c:v>9.7285714285714544</c:v>
                </c:pt>
                <c:pt idx="29">
                  <c:v>8.8314121037464997</c:v>
                </c:pt>
                <c:pt idx="30">
                  <c:v>8.0964332892998563</c:v>
                </c:pt>
                <c:pt idx="31">
                  <c:v>7.5365205843293488</c:v>
                </c:pt>
                <c:pt idx="32">
                  <c:v>8.0750988142292375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8-AF45-9B47-6886B2B6B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46624"/>
        <c:axId val="105172992"/>
      </c:scatterChart>
      <c:valAx>
        <c:axId val="105146624"/>
        <c:scaling>
          <c:orientation val="minMax"/>
        </c:scaling>
        <c:delete val="0"/>
        <c:axPos val="t"/>
        <c:numFmt formatCode="0.00" sourceLinked="1"/>
        <c:majorTickMark val="out"/>
        <c:minorTickMark val="none"/>
        <c:tickLblPos val="nextTo"/>
        <c:crossAx val="105172992"/>
        <c:crosses val="autoZero"/>
        <c:crossBetween val="midCat"/>
      </c:valAx>
      <c:valAx>
        <c:axId val="105172992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146624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Лист1!$L$1</c:f>
              <c:strCache>
                <c:ptCount val="1"/>
                <c:pt idx="0">
                  <c:v>Влажность, %</c:v>
                </c:pt>
              </c:strCache>
            </c:strRef>
          </c:tx>
          <c:xVal>
            <c:numRef>
              <c:f>Лист1!$L$2:$L$34</c:f>
              <c:numCache>
                <c:formatCode>0.00</c:formatCode>
                <c:ptCount val="33"/>
                <c:pt idx="0">
                  <c:v>94.628624370620088</c:v>
                </c:pt>
                <c:pt idx="1">
                  <c:v>92.959156092071666</c:v>
                </c:pt>
                <c:pt idx="2">
                  <c:v>93.162614748651706</c:v>
                </c:pt>
                <c:pt idx="3">
                  <c:v>92.688002208100244</c:v>
                </c:pt>
                <c:pt idx="4">
                  <c:v>93.795974133563149</c:v>
                </c:pt>
                <c:pt idx="5">
                  <c:v>89.153353373977723</c:v>
                </c:pt>
                <c:pt idx="6">
                  <c:v>89.473710002514167</c:v>
                </c:pt>
                <c:pt idx="7">
                  <c:v>88.63581164468583</c:v>
                </c:pt>
                <c:pt idx="8">
                  <c:v>83.338676272263541</c:v>
                </c:pt>
                <c:pt idx="9">
                  <c:v>83.86186906546726</c:v>
                </c:pt>
                <c:pt idx="10">
                  <c:v>86.155942114396609</c:v>
                </c:pt>
                <c:pt idx="11">
                  <c:v>82.668744557390255</c:v>
                </c:pt>
                <c:pt idx="12">
                  <c:v>83.5454270687692</c:v>
                </c:pt>
                <c:pt idx="13">
                  <c:v>81.897927797064739</c:v>
                </c:pt>
                <c:pt idx="14">
                  <c:v>82.544263807926839</c:v>
                </c:pt>
                <c:pt idx="15">
                  <c:v>79.637316710975185</c:v>
                </c:pt>
                <c:pt idx="16">
                  <c:v>75.896924781452654</c:v>
                </c:pt>
                <c:pt idx="17">
                  <c:v>79.424675486190111</c:v>
                </c:pt>
                <c:pt idx="18">
                  <c:v>80.528861004602874</c:v>
                </c:pt>
                <c:pt idx="19">
                  <c:v>73.669424360822575</c:v>
                </c:pt>
                <c:pt idx="20">
                  <c:v>78.537149071660608</c:v>
                </c:pt>
                <c:pt idx="21">
                  <c:v>77.43417865664955</c:v>
                </c:pt>
                <c:pt idx="22">
                  <c:v>82.603776908745076</c:v>
                </c:pt>
                <c:pt idx="23">
                  <c:v>85.060160941215713</c:v>
                </c:pt>
                <c:pt idx="24">
                  <c:v>81.538122487248359</c:v>
                </c:pt>
                <c:pt idx="25">
                  <c:v>77.945953787777839</c:v>
                </c:pt>
                <c:pt idx="26">
                  <c:v>75.430214909201467</c:v>
                </c:pt>
                <c:pt idx="27">
                  <c:v>75.344129046670062</c:v>
                </c:pt>
                <c:pt idx="28">
                  <c:v>75.034356803765192</c:v>
                </c:pt>
                <c:pt idx="29">
                  <c:v>75.40547887403892</c:v>
                </c:pt>
                <c:pt idx="30">
                  <c:v>74.837844134673631</c:v>
                </c:pt>
                <c:pt idx="31">
                  <c:v>72.27796646404434</c:v>
                </c:pt>
                <c:pt idx="32">
                  <c:v>68.772663399582896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2B-A741-944C-F2EABD4F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80160"/>
        <c:axId val="104669952"/>
      </c:scatterChart>
      <c:valAx>
        <c:axId val="105180160"/>
        <c:scaling>
          <c:orientation val="minMax"/>
          <c:min val="50"/>
        </c:scaling>
        <c:delete val="0"/>
        <c:axPos val="t"/>
        <c:numFmt formatCode="0.00" sourceLinked="1"/>
        <c:majorTickMark val="out"/>
        <c:minorTickMark val="none"/>
        <c:tickLblPos val="nextTo"/>
        <c:crossAx val="104669952"/>
        <c:crosses val="autoZero"/>
        <c:crossBetween val="midCat"/>
      </c:valAx>
      <c:valAx>
        <c:axId val="104669952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180160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Лист1!$M$1</c:f>
              <c:strCache>
                <c:ptCount val="1"/>
                <c:pt idx="0">
                  <c:v>volweight</c:v>
                </c:pt>
              </c:strCache>
            </c:strRef>
          </c:tx>
          <c:xVal>
            <c:numRef>
              <c:f>Лист1!$M$2:$M$34</c:f>
              <c:numCache>
                <c:formatCode>0.00</c:formatCode>
                <c:ptCount val="33"/>
                <c:pt idx="0">
                  <c:v>5.6972191209979185E-2</c:v>
                </c:pt>
                <c:pt idx="1">
                  <c:v>0.10846696714900511</c:v>
                </c:pt>
                <c:pt idx="2">
                  <c:v>8.818723636684854E-2</c:v>
                </c:pt>
                <c:pt idx="3">
                  <c:v>0.10788553816839634</c:v>
                </c:pt>
                <c:pt idx="4">
                  <c:v>8.5516560582878709E-2</c:v>
                </c:pt>
                <c:pt idx="5">
                  <c:v>0.19003587033689273</c:v>
                </c:pt>
                <c:pt idx="6">
                  <c:v>0.14649091530690736</c:v>
                </c:pt>
                <c:pt idx="7">
                  <c:v>0.1667859859164747</c:v>
                </c:pt>
                <c:pt idx="8">
                  <c:v>0.22996874408301116</c:v>
                </c:pt>
                <c:pt idx="9">
                  <c:v>0.23678140059761452</c:v>
                </c:pt>
                <c:pt idx="10">
                  <c:v>0.26257050644989638</c:v>
                </c:pt>
                <c:pt idx="11">
                  <c:v>0.25450391991045762</c:v>
                </c:pt>
                <c:pt idx="12">
                  <c:v>0.23927861095186143</c:v>
                </c:pt>
                <c:pt idx="13">
                  <c:v>0.32180546852479336</c:v>
                </c:pt>
                <c:pt idx="14">
                  <c:v>0.32040138969010945</c:v>
                </c:pt>
                <c:pt idx="15">
                  <c:v>0.38232118293366552</c:v>
                </c:pt>
                <c:pt idx="16">
                  <c:v>0.51063569242983542</c:v>
                </c:pt>
                <c:pt idx="17">
                  <c:v>0.26440336498249495</c:v>
                </c:pt>
                <c:pt idx="18">
                  <c:v>0.28320773608905381</c:v>
                </c:pt>
                <c:pt idx="19">
                  <c:v>0.7589373569308836</c:v>
                </c:pt>
                <c:pt idx="20">
                  <c:v>0.38717789156330928</c:v>
                </c:pt>
                <c:pt idx="21">
                  <c:v>0.36723971429277302</c:v>
                </c:pt>
                <c:pt idx="22">
                  <c:v>0.21959761236398745</c:v>
                </c:pt>
                <c:pt idx="23">
                  <c:v>0.20169202978687464</c:v>
                </c:pt>
                <c:pt idx="24">
                  <c:v>0.15135511866047283</c:v>
                </c:pt>
                <c:pt idx="25">
                  <c:v>0.21023582309020408</c:v>
                </c:pt>
                <c:pt idx="26">
                  <c:v>0.15098354909626235</c:v>
                </c:pt>
                <c:pt idx="27">
                  <c:v>0.23288369385651569</c:v>
                </c:pt>
                <c:pt idx="28">
                  <c:v>0.21981859834422343</c:v>
                </c:pt>
                <c:pt idx="29">
                  <c:v>0.22107715425079214</c:v>
                </c:pt>
                <c:pt idx="30">
                  <c:v>0.20685482236828265</c:v>
                </c:pt>
                <c:pt idx="31">
                  <c:v>0.22812725819145482</c:v>
                </c:pt>
                <c:pt idx="32">
                  <c:v>0.35286280243160606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6-DE47-A8E4-EEA06FF53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75104"/>
        <c:axId val="105776640"/>
      </c:scatterChart>
      <c:valAx>
        <c:axId val="105775104"/>
        <c:scaling>
          <c:orientation val="minMax"/>
        </c:scaling>
        <c:delete val="0"/>
        <c:axPos val="t"/>
        <c:numFmt formatCode="0.00" sourceLinked="1"/>
        <c:majorTickMark val="out"/>
        <c:minorTickMark val="none"/>
        <c:tickLblPos val="nextTo"/>
        <c:crossAx val="105776640"/>
        <c:crosses val="autoZero"/>
        <c:crossBetween val="midCat"/>
      </c:valAx>
      <c:valAx>
        <c:axId val="105776640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775104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685000000000001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&lt;2.0</c:v>
                </c:pt>
              </c:strCache>
            </c:strRef>
          </c:tx>
          <c:xVal>
            <c:numRef>
              <c:f>Лист1!$O$2:$O$34</c:f>
              <c:numCache>
                <c:formatCode>0.0</c:formatCode>
                <c:ptCount val="33"/>
                <c:pt idx="0">
                  <c:v>10.811440677046406</c:v>
                </c:pt>
                <c:pt idx="1">
                  <c:v>11.513436460035177</c:v>
                </c:pt>
                <c:pt idx="2">
                  <c:v>11.091207159844412</c:v>
                </c:pt>
                <c:pt idx="3">
                  <c:v>10.032848413190678</c:v>
                </c:pt>
                <c:pt idx="4">
                  <c:v>10.481865433216457</c:v>
                </c:pt>
                <c:pt idx="5">
                  <c:v>10.051588536950353</c:v>
                </c:pt>
                <c:pt idx="6">
                  <c:v>10.718655756824266</c:v>
                </c:pt>
                <c:pt idx="7">
                  <c:v>10.618879285972305</c:v>
                </c:pt>
                <c:pt idx="8">
                  <c:v>11.083486302669066</c:v>
                </c:pt>
                <c:pt idx="9">
                  <c:v>11.678527057126566</c:v>
                </c:pt>
                <c:pt idx="10">
                  <c:v>11.448871666737915</c:v>
                </c:pt>
                <c:pt idx="11">
                  <c:v>10.999942374236523</c:v>
                </c:pt>
                <c:pt idx="12">
                  <c:v>11.307942490050561</c:v>
                </c:pt>
                <c:pt idx="13">
                  <c:v>11.231855559472447</c:v>
                </c:pt>
                <c:pt idx="14">
                  <c:v>10.887973285709158</c:v>
                </c:pt>
                <c:pt idx="15">
                  <c:v>10.695091953549035</c:v>
                </c:pt>
                <c:pt idx="16">
                  <c:v>11.486122087552232</c:v>
                </c:pt>
                <c:pt idx="17">
                  <c:v>11.213432808587182</c:v>
                </c:pt>
                <c:pt idx="18">
                  <c:v>11.700641036910863</c:v>
                </c:pt>
                <c:pt idx="19">
                  <c:v>11.328232073483967</c:v>
                </c:pt>
                <c:pt idx="20">
                  <c:v>11.305961571442381</c:v>
                </c:pt>
                <c:pt idx="21">
                  <c:v>11.198275942342956</c:v>
                </c:pt>
                <c:pt idx="22">
                  <c:v>12.734038324149465</c:v>
                </c:pt>
                <c:pt idx="23">
                  <c:v>13.577463374178485</c:v>
                </c:pt>
                <c:pt idx="24">
                  <c:v>14.468820154786389</c:v>
                </c:pt>
                <c:pt idx="25">
                  <c:v>16.579242789461869</c:v>
                </c:pt>
                <c:pt idx="26">
                  <c:v>16.408157246731157</c:v>
                </c:pt>
                <c:pt idx="27">
                  <c:v>18.875675039149918</c:v>
                </c:pt>
                <c:pt idx="28">
                  <c:v>12.801141487108886</c:v>
                </c:pt>
                <c:pt idx="29">
                  <c:v>15.713386043319932</c:v>
                </c:pt>
                <c:pt idx="30">
                  <c:v>16.923082111693024</c:v>
                </c:pt>
                <c:pt idx="31">
                  <c:v>15.241721657240197</c:v>
                </c:pt>
                <c:pt idx="32">
                  <c:v>16.688887262793457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B-A249-97E0-C1141510A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04544"/>
        <c:axId val="105806080"/>
      </c:scatterChart>
      <c:valAx>
        <c:axId val="105804544"/>
        <c:scaling>
          <c:orientation val="minMax"/>
        </c:scaling>
        <c:delete val="0"/>
        <c:axPos val="t"/>
        <c:numFmt formatCode="0.0" sourceLinked="1"/>
        <c:majorTickMark val="out"/>
        <c:minorTickMark val="none"/>
        <c:tickLblPos val="nextTo"/>
        <c:crossAx val="105806080"/>
        <c:crosses val="autoZero"/>
        <c:crossBetween val="midCat"/>
      </c:valAx>
      <c:valAx>
        <c:axId val="105806080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804544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031899999999999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Лист1!$U$1</c:f>
              <c:strCache>
                <c:ptCount val="1"/>
                <c:pt idx="0">
                  <c:v>63.0-125.0</c:v>
                </c:pt>
              </c:strCache>
            </c:strRef>
          </c:tx>
          <c:xVal>
            <c:numRef>
              <c:f>Лист1!$U$2:$U$34</c:f>
              <c:numCache>
                <c:formatCode>0.0</c:formatCode>
                <c:ptCount val="33"/>
                <c:pt idx="0">
                  <c:v>2.1668169780855759</c:v>
                </c:pt>
                <c:pt idx="1">
                  <c:v>2.3853758923671484</c:v>
                </c:pt>
                <c:pt idx="2">
                  <c:v>2.254482592718217</c:v>
                </c:pt>
                <c:pt idx="3">
                  <c:v>2.9592735552726541</c:v>
                </c:pt>
                <c:pt idx="4">
                  <c:v>2.616574756281719</c:v>
                </c:pt>
                <c:pt idx="5">
                  <c:v>2.903620663394098</c:v>
                </c:pt>
                <c:pt idx="6">
                  <c:v>2.861498123405684</c:v>
                </c:pt>
                <c:pt idx="7">
                  <c:v>2.6208789858475763</c:v>
                </c:pt>
                <c:pt idx="8">
                  <c:v>2.5510751175857189</c:v>
                </c:pt>
                <c:pt idx="9">
                  <c:v>2.1521904569233765</c:v>
                </c:pt>
                <c:pt idx="10">
                  <c:v>1.7750787906717265</c:v>
                </c:pt>
                <c:pt idx="11">
                  <c:v>1.9757322308883951</c:v>
                </c:pt>
                <c:pt idx="12">
                  <c:v>1.6577385941645821</c:v>
                </c:pt>
                <c:pt idx="13">
                  <c:v>1.5196348566625335</c:v>
                </c:pt>
                <c:pt idx="14">
                  <c:v>1.5195695699633789</c:v>
                </c:pt>
                <c:pt idx="15">
                  <c:v>1.4421871619336719</c:v>
                </c:pt>
                <c:pt idx="16">
                  <c:v>0.8175904794600225</c:v>
                </c:pt>
                <c:pt idx="17">
                  <c:v>1.0447927815457505</c:v>
                </c:pt>
                <c:pt idx="18">
                  <c:v>0.8173365523249444</c:v>
                </c:pt>
                <c:pt idx="19">
                  <c:v>1.0107999407184547</c:v>
                </c:pt>
                <c:pt idx="20">
                  <c:v>1.5296897773214351</c:v>
                </c:pt>
                <c:pt idx="21">
                  <c:v>2.4319591507559979</c:v>
                </c:pt>
                <c:pt idx="22">
                  <c:v>2.7721768392731896</c:v>
                </c:pt>
                <c:pt idx="23">
                  <c:v>3.9918089936609871</c:v>
                </c:pt>
                <c:pt idx="24">
                  <c:v>4.4820007959823513</c:v>
                </c:pt>
                <c:pt idx="25">
                  <c:v>4.2016274551681851</c:v>
                </c:pt>
                <c:pt idx="26">
                  <c:v>3.660075055817837</c:v>
                </c:pt>
                <c:pt idx="27">
                  <c:v>2.7732669717752962</c:v>
                </c:pt>
                <c:pt idx="28">
                  <c:v>2.4997145669581373</c:v>
                </c:pt>
                <c:pt idx="29">
                  <c:v>1.8906695676403009</c:v>
                </c:pt>
                <c:pt idx="30">
                  <c:v>2.0231896506326712</c:v>
                </c:pt>
                <c:pt idx="31">
                  <c:v>1.7758042092349029</c:v>
                </c:pt>
                <c:pt idx="32">
                  <c:v>1.342196009758253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5-2747-9141-68118261E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25792"/>
        <c:axId val="105827328"/>
      </c:scatterChart>
      <c:valAx>
        <c:axId val="105825792"/>
        <c:scaling>
          <c:orientation val="minMax"/>
        </c:scaling>
        <c:delete val="0"/>
        <c:axPos val="t"/>
        <c:numFmt formatCode="0.0" sourceLinked="1"/>
        <c:majorTickMark val="out"/>
        <c:minorTickMark val="none"/>
        <c:tickLblPos val="nextTo"/>
        <c:crossAx val="105827328"/>
        <c:crosses val="autoZero"/>
        <c:crossBetween val="midCat"/>
      </c:valAx>
      <c:valAx>
        <c:axId val="105827328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825792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Лист1!$W$1</c:f>
              <c:strCache>
                <c:ptCount val="1"/>
                <c:pt idx="0">
                  <c:v>250.0-500.0</c:v>
                </c:pt>
              </c:strCache>
            </c:strRef>
          </c:tx>
          <c:xVal>
            <c:numRef>
              <c:f>Лист1!$W$2:$W$34</c:f>
              <c:numCache>
                <c:formatCode>0.0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0.31736168351237359</c:v>
                </c:pt>
                <c:pt idx="3">
                  <c:v>0.36488256851202922</c:v>
                </c:pt>
                <c:pt idx="4">
                  <c:v>0.1185597043079409</c:v>
                </c:pt>
                <c:pt idx="5">
                  <c:v>0.28496471829707526</c:v>
                </c:pt>
                <c:pt idx="6">
                  <c:v>6.1923608443009752E-2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1.7229598029516069E-2</c:v>
                </c:pt>
                <c:pt idx="25">
                  <c:v>1.5787087249080331E-2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0.20012761693602937</c:v>
                </c:pt>
                <c:pt idx="32">
                  <c:v>0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45-5A4D-A98D-9BBCD107A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47040"/>
        <c:axId val="105852928"/>
      </c:scatterChart>
      <c:valAx>
        <c:axId val="105847040"/>
        <c:scaling>
          <c:orientation val="minMax"/>
        </c:scaling>
        <c:delete val="0"/>
        <c:axPos val="t"/>
        <c:numFmt formatCode="0.0" sourceLinked="1"/>
        <c:majorTickMark val="out"/>
        <c:minorTickMark val="none"/>
        <c:tickLblPos val="nextTo"/>
        <c:crossAx val="105852928"/>
        <c:crosses val="autoZero"/>
        <c:crossBetween val="midCat"/>
      </c:valAx>
      <c:valAx>
        <c:axId val="105852928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847040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Лист1!$AB$1</c:f>
              <c:strCache>
                <c:ptCount val="1"/>
                <c:pt idx="0">
                  <c:v>Dx (50)</c:v>
                </c:pt>
              </c:strCache>
            </c:strRef>
          </c:tx>
          <c:xVal>
            <c:numRef>
              <c:f>Лист1!$AB$2:$AB$34</c:f>
              <c:numCache>
                <c:formatCode>0.0</c:formatCode>
                <c:ptCount val="33"/>
                <c:pt idx="0">
                  <c:v>10.272006452929</c:v>
                </c:pt>
                <c:pt idx="1">
                  <c:v>10.159345015492899</c:v>
                </c:pt>
                <c:pt idx="2">
                  <c:v>10.375284999320099</c:v>
                </c:pt>
                <c:pt idx="3">
                  <c:v>10.884567542064101</c:v>
                </c:pt>
                <c:pt idx="4">
                  <c:v>10.495230421103001</c:v>
                </c:pt>
                <c:pt idx="5">
                  <c:v>10.252760212421499</c:v>
                </c:pt>
                <c:pt idx="6">
                  <c:v>11.0767083765991</c:v>
                </c:pt>
                <c:pt idx="7">
                  <c:v>11.3413736562654</c:v>
                </c:pt>
                <c:pt idx="8">
                  <c:v>11.1734062570736</c:v>
                </c:pt>
                <c:pt idx="9">
                  <c:v>11.250999305462701</c:v>
                </c:pt>
                <c:pt idx="10">
                  <c:v>10.2183739401368</c:v>
                </c:pt>
                <c:pt idx="11">
                  <c:v>11.088641201402099</c:v>
                </c:pt>
                <c:pt idx="12">
                  <c:v>10.5064970089584</c:v>
                </c:pt>
                <c:pt idx="13">
                  <c:v>10.174056194839901</c:v>
                </c:pt>
                <c:pt idx="14">
                  <c:v>9.7881928824137105</c:v>
                </c:pt>
                <c:pt idx="15">
                  <c:v>9.3329496707777793</c:v>
                </c:pt>
                <c:pt idx="16">
                  <c:v>9.1933237644116002</c:v>
                </c:pt>
                <c:pt idx="17">
                  <c:v>10.0713846333978</c:v>
                </c:pt>
                <c:pt idx="18">
                  <c:v>9.7458669866855292</c:v>
                </c:pt>
                <c:pt idx="19">
                  <c:v>9.9704960511971503</c:v>
                </c:pt>
                <c:pt idx="20">
                  <c:v>9.6052450774088491</c:v>
                </c:pt>
                <c:pt idx="21">
                  <c:v>10.328495366327299</c:v>
                </c:pt>
                <c:pt idx="22">
                  <c:v>10.931602954123299</c:v>
                </c:pt>
                <c:pt idx="23">
                  <c:v>11.2157287243336</c:v>
                </c:pt>
                <c:pt idx="24">
                  <c:v>11.853461308709001</c:v>
                </c:pt>
                <c:pt idx="25">
                  <c:v>10.3812063794752</c:v>
                </c:pt>
                <c:pt idx="26">
                  <c:v>9.8835098913992301</c:v>
                </c:pt>
                <c:pt idx="27">
                  <c:v>9.5335067647590606</c:v>
                </c:pt>
                <c:pt idx="28">
                  <c:v>10.5948585644289</c:v>
                </c:pt>
                <c:pt idx="29">
                  <c:v>10.4661393578308</c:v>
                </c:pt>
                <c:pt idx="30">
                  <c:v>8.9078520592728108</c:v>
                </c:pt>
                <c:pt idx="31">
                  <c:v>9.4805832946366202</c:v>
                </c:pt>
                <c:pt idx="32">
                  <c:v>8.4020925010418495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D-824B-BA08-1C90085CF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76480"/>
        <c:axId val="105882368"/>
      </c:scatterChart>
      <c:valAx>
        <c:axId val="105876480"/>
        <c:scaling>
          <c:orientation val="minMax"/>
          <c:min val="7"/>
        </c:scaling>
        <c:delete val="0"/>
        <c:axPos val="t"/>
        <c:numFmt formatCode="0.0" sourceLinked="1"/>
        <c:majorTickMark val="out"/>
        <c:minorTickMark val="none"/>
        <c:tickLblPos val="nextTo"/>
        <c:crossAx val="105882368"/>
        <c:crosses val="autoZero"/>
        <c:crossBetween val="midCat"/>
      </c:valAx>
      <c:valAx>
        <c:axId val="105882368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876480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Лист1!$AD$1</c:f>
              <c:strCache>
                <c:ptCount val="1"/>
                <c:pt idx="0">
                  <c:v>500HZ</c:v>
                </c:pt>
              </c:strCache>
            </c:strRef>
          </c:tx>
          <c:xVal>
            <c:numRef>
              <c:f>Лист1!$AD$2:$AD$34</c:f>
              <c:numCache>
                <c:formatCode>General</c:formatCode>
                <c:ptCount val="33"/>
                <c:pt idx="0">
                  <c:v>0.31305477300000001</c:v>
                </c:pt>
                <c:pt idx="1">
                  <c:v>0.31669277800000001</c:v>
                </c:pt>
                <c:pt idx="2">
                  <c:v>0.32575261174999998</c:v>
                </c:pt>
                <c:pt idx="3">
                  <c:v>0.31581723950000001</c:v>
                </c:pt>
                <c:pt idx="4">
                  <c:v>0.35291307249999998</c:v>
                </c:pt>
                <c:pt idx="5">
                  <c:v>0.329129114</c:v>
                </c:pt>
                <c:pt idx="6">
                  <c:v>0.33056002600000001</c:v>
                </c:pt>
                <c:pt idx="7">
                  <c:v>0.39455581149999996</c:v>
                </c:pt>
                <c:pt idx="8">
                  <c:v>0.36879090749999999</c:v>
                </c:pt>
                <c:pt idx="9">
                  <c:v>0.31498960525000003</c:v>
                </c:pt>
                <c:pt idx="10">
                  <c:v>0.31292754950000001</c:v>
                </c:pt>
                <c:pt idx="11">
                  <c:v>0.29937134300000001</c:v>
                </c:pt>
                <c:pt idx="12">
                  <c:v>0.28581385124999997</c:v>
                </c:pt>
                <c:pt idx="13">
                  <c:v>0.28369575950000003</c:v>
                </c:pt>
                <c:pt idx="14">
                  <c:v>0.26888613325000005</c:v>
                </c:pt>
                <c:pt idx="15">
                  <c:v>0.26472349174999998</c:v>
                </c:pt>
                <c:pt idx="16">
                  <c:v>0.24963292125000003</c:v>
                </c:pt>
                <c:pt idx="17">
                  <c:v>0.25465623300000001</c:v>
                </c:pt>
                <c:pt idx="18">
                  <c:v>0.25026912675000001</c:v>
                </c:pt>
                <c:pt idx="19">
                  <c:v>0.251263984</c:v>
                </c:pt>
                <c:pt idx="20">
                  <c:v>0.25679962224999997</c:v>
                </c:pt>
                <c:pt idx="21">
                  <c:v>0.26410256900000001</c:v>
                </c:pt>
                <c:pt idx="22">
                  <c:v>0.20361915850000001</c:v>
                </c:pt>
                <c:pt idx="23">
                  <c:v>0.11274794674999999</c:v>
                </c:pt>
                <c:pt idx="24">
                  <c:v>0.10107783802499999</c:v>
                </c:pt>
                <c:pt idx="25">
                  <c:v>0.10809413675</c:v>
                </c:pt>
                <c:pt idx="26">
                  <c:v>0.10491312431407591</c:v>
                </c:pt>
                <c:pt idx="27">
                  <c:v>0.12743766725</c:v>
                </c:pt>
                <c:pt idx="28">
                  <c:v>0.13030529124999998</c:v>
                </c:pt>
                <c:pt idx="29">
                  <c:v>0.13721807749999998</c:v>
                </c:pt>
                <c:pt idx="30">
                  <c:v>0.15547592499999999</c:v>
                </c:pt>
                <c:pt idx="31">
                  <c:v>0.1649600195</c:v>
                </c:pt>
                <c:pt idx="32">
                  <c:v>0.195129153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A-4F46-BC17-113087D22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89152"/>
        <c:axId val="105911424"/>
      </c:scatterChart>
      <c:valAx>
        <c:axId val="10588915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105911424"/>
        <c:crosses val="autoZero"/>
        <c:crossBetween val="midCat"/>
      </c:valAx>
      <c:valAx>
        <c:axId val="105911424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889152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Лист1!$AG$1</c:f>
              <c:strCache>
                <c:ptCount val="1"/>
                <c:pt idx="0">
                  <c:v>FD_cc</c:v>
                </c:pt>
              </c:strCache>
            </c:strRef>
          </c:tx>
          <c:xVal>
            <c:numRef>
              <c:f>Лист1!$AG$2:$AG$34</c:f>
              <c:numCache>
                <c:formatCode>General</c:formatCode>
                <c:ptCount val="33"/>
                <c:pt idx="0">
                  <c:v>6.8942228259215579</c:v>
                </c:pt>
                <c:pt idx="1">
                  <c:v>8.7237265085522644</c:v>
                </c:pt>
                <c:pt idx="2">
                  <c:v>8.0103417031990016</c:v>
                </c:pt>
                <c:pt idx="3">
                  <c:v>8.4813091018221609</c:v>
                </c:pt>
                <c:pt idx="4">
                  <c:v>6.4066234980582797</c:v>
                </c:pt>
                <c:pt idx="5">
                  <c:v>6.4551803588169276</c:v>
                </c:pt>
                <c:pt idx="6">
                  <c:v>6.608704074631075</c:v>
                </c:pt>
                <c:pt idx="7">
                  <c:v>6.7133678509138148</c:v>
                </c:pt>
                <c:pt idx="8">
                  <c:v>5.5416074584643953</c:v>
                </c:pt>
                <c:pt idx="9">
                  <c:v>4.3888616738798758</c:v>
                </c:pt>
                <c:pt idx="10">
                  <c:v>3.3864601134448793</c:v>
                </c:pt>
                <c:pt idx="11">
                  <c:v>3.7205269960070182</c:v>
                </c:pt>
                <c:pt idx="12">
                  <c:v>3.3283329713706711</c:v>
                </c:pt>
                <c:pt idx="13">
                  <c:v>2.9524158086514589</c:v>
                </c:pt>
                <c:pt idx="14">
                  <c:v>2.6800528575162019</c:v>
                </c:pt>
                <c:pt idx="15">
                  <c:v>2.0571587791129384</c:v>
                </c:pt>
                <c:pt idx="16">
                  <c:v>1.8584682915736608</c:v>
                </c:pt>
                <c:pt idx="17">
                  <c:v>1.6957284404606856</c:v>
                </c:pt>
                <c:pt idx="18">
                  <c:v>2.7062272926498729</c:v>
                </c:pt>
                <c:pt idx="19">
                  <c:v>2.8563414906001423</c:v>
                </c:pt>
                <c:pt idx="20">
                  <c:v>3.2009316827279819</c:v>
                </c:pt>
                <c:pt idx="21">
                  <c:v>1.7965455578380138</c:v>
                </c:pt>
                <c:pt idx="22">
                  <c:v>-0.51828030013338455</c:v>
                </c:pt>
                <c:pt idx="23">
                  <c:v>-0.94158186081968853</c:v>
                </c:pt>
                <c:pt idx="24">
                  <c:v>1.1395139211261829</c:v>
                </c:pt>
                <c:pt idx="25">
                  <c:v>3.9402705897488466</c:v>
                </c:pt>
                <c:pt idx="26">
                  <c:v>3.7144641121704378</c:v>
                </c:pt>
                <c:pt idx="27">
                  <c:v>1.9646920853914462</c:v>
                </c:pt>
                <c:pt idx="28">
                  <c:v>0.10160286080878511</c:v>
                </c:pt>
                <c:pt idx="29">
                  <c:v>1.1334484951194959</c:v>
                </c:pt>
                <c:pt idx="30">
                  <c:v>2.4924569232150442</c:v>
                </c:pt>
                <c:pt idx="31">
                  <c:v>3.3597050666372783</c:v>
                </c:pt>
                <c:pt idx="32">
                  <c:v>3.5964723188647532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3-4C46-BFB1-39B2233F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47520"/>
        <c:axId val="105949056"/>
      </c:scatterChart>
      <c:valAx>
        <c:axId val="10594752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105949056"/>
        <c:crosses val="autoZero"/>
        <c:crossBetween val="midCat"/>
      </c:valAx>
      <c:valAx>
        <c:axId val="105949056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947520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35031899999999999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Лист1!$AI$1</c:f>
              <c:strCache>
                <c:ptCount val="1"/>
                <c:pt idx="0">
                  <c:v>L*(D65)</c:v>
                </c:pt>
              </c:strCache>
            </c:strRef>
          </c:tx>
          <c:xVal>
            <c:numRef>
              <c:f>Лист1!$AI$2:$AI$34</c:f>
              <c:numCache>
                <c:formatCode>General</c:formatCode>
                <c:ptCount val="33"/>
                <c:pt idx="0">
                  <c:v>50.5</c:v>
                </c:pt>
                <c:pt idx="1">
                  <c:v>51.22</c:v>
                </c:pt>
                <c:pt idx="2">
                  <c:v>49.12</c:v>
                </c:pt>
                <c:pt idx="3">
                  <c:v>50.07</c:v>
                </c:pt>
                <c:pt idx="4">
                  <c:v>49.32</c:v>
                </c:pt>
                <c:pt idx="5">
                  <c:v>50.93</c:v>
                </c:pt>
                <c:pt idx="6">
                  <c:v>51.68</c:v>
                </c:pt>
                <c:pt idx="7">
                  <c:v>47.28</c:v>
                </c:pt>
                <c:pt idx="8">
                  <c:v>46</c:v>
                </c:pt>
                <c:pt idx="9">
                  <c:v>46.66</c:v>
                </c:pt>
                <c:pt idx="10">
                  <c:v>47.54</c:v>
                </c:pt>
                <c:pt idx="11">
                  <c:v>45.94</c:v>
                </c:pt>
                <c:pt idx="12">
                  <c:v>44.61</c:v>
                </c:pt>
                <c:pt idx="13">
                  <c:v>45.96</c:v>
                </c:pt>
                <c:pt idx="14">
                  <c:v>46.54</c:v>
                </c:pt>
                <c:pt idx="15">
                  <c:v>45.36</c:v>
                </c:pt>
                <c:pt idx="16">
                  <c:v>49.18</c:v>
                </c:pt>
                <c:pt idx="17">
                  <c:v>47.43</c:v>
                </c:pt>
                <c:pt idx="18">
                  <c:v>48.32</c:v>
                </c:pt>
                <c:pt idx="19">
                  <c:v>47.98</c:v>
                </c:pt>
                <c:pt idx="20">
                  <c:v>46.32</c:v>
                </c:pt>
                <c:pt idx="21">
                  <c:v>41.4</c:v>
                </c:pt>
                <c:pt idx="22">
                  <c:v>33.840000000000003</c:v>
                </c:pt>
                <c:pt idx="23">
                  <c:v>32.25</c:v>
                </c:pt>
                <c:pt idx="24">
                  <c:v>31</c:v>
                </c:pt>
                <c:pt idx="25">
                  <c:v>32.19</c:v>
                </c:pt>
                <c:pt idx="26">
                  <c:v>31.42</c:v>
                </c:pt>
                <c:pt idx="27">
                  <c:v>33.83</c:v>
                </c:pt>
                <c:pt idx="28">
                  <c:v>34.89</c:v>
                </c:pt>
                <c:pt idx="29">
                  <c:v>35.57</c:v>
                </c:pt>
                <c:pt idx="30">
                  <c:v>36.46</c:v>
                </c:pt>
                <c:pt idx="31">
                  <c:v>37.07</c:v>
                </c:pt>
                <c:pt idx="32">
                  <c:v>39.799999999999997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D-9947-AAA6-CE827C675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81056"/>
        <c:axId val="105982592"/>
      </c:scatterChart>
      <c:valAx>
        <c:axId val="10598105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105982592"/>
        <c:crosses val="autoZero"/>
        <c:crossBetween val="midCat"/>
      </c:valAx>
      <c:valAx>
        <c:axId val="105982592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981056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Лист1!$AJ$1</c:f>
              <c:strCache>
                <c:ptCount val="1"/>
                <c:pt idx="0">
                  <c:v>a*(D65)</c:v>
                </c:pt>
              </c:strCache>
            </c:strRef>
          </c:tx>
          <c:xVal>
            <c:numRef>
              <c:f>Лист1!$AJ$2:$AJ$34</c:f>
              <c:numCache>
                <c:formatCode>General</c:formatCode>
                <c:ptCount val="33"/>
                <c:pt idx="0">
                  <c:v>2.87</c:v>
                </c:pt>
                <c:pt idx="1">
                  <c:v>2.79</c:v>
                </c:pt>
                <c:pt idx="2">
                  <c:v>2.94</c:v>
                </c:pt>
                <c:pt idx="3">
                  <c:v>2.93</c:v>
                </c:pt>
                <c:pt idx="4">
                  <c:v>3.18</c:v>
                </c:pt>
                <c:pt idx="5">
                  <c:v>3.35</c:v>
                </c:pt>
                <c:pt idx="6">
                  <c:v>3.12</c:v>
                </c:pt>
                <c:pt idx="7">
                  <c:v>2.91</c:v>
                </c:pt>
                <c:pt idx="8">
                  <c:v>3.15</c:v>
                </c:pt>
                <c:pt idx="9">
                  <c:v>2.98</c:v>
                </c:pt>
                <c:pt idx="10">
                  <c:v>2.96</c:v>
                </c:pt>
                <c:pt idx="11">
                  <c:v>3.03</c:v>
                </c:pt>
                <c:pt idx="12">
                  <c:v>3.18</c:v>
                </c:pt>
                <c:pt idx="13">
                  <c:v>3.15</c:v>
                </c:pt>
                <c:pt idx="14">
                  <c:v>3.17</c:v>
                </c:pt>
                <c:pt idx="15">
                  <c:v>3.82</c:v>
                </c:pt>
                <c:pt idx="16">
                  <c:v>3.62</c:v>
                </c:pt>
                <c:pt idx="17">
                  <c:v>3.81</c:v>
                </c:pt>
                <c:pt idx="18">
                  <c:v>3.78</c:v>
                </c:pt>
                <c:pt idx="19">
                  <c:v>3.8</c:v>
                </c:pt>
                <c:pt idx="20">
                  <c:v>3.28</c:v>
                </c:pt>
                <c:pt idx="21">
                  <c:v>2.9</c:v>
                </c:pt>
                <c:pt idx="22">
                  <c:v>2.4700000000000002</c:v>
                </c:pt>
                <c:pt idx="23">
                  <c:v>2.21</c:v>
                </c:pt>
                <c:pt idx="24">
                  <c:v>2.2400000000000002</c:v>
                </c:pt>
                <c:pt idx="25">
                  <c:v>2.25</c:v>
                </c:pt>
                <c:pt idx="26">
                  <c:v>2.0099999999999998</c:v>
                </c:pt>
                <c:pt idx="27">
                  <c:v>2.0499999999999998</c:v>
                </c:pt>
                <c:pt idx="28">
                  <c:v>2.17</c:v>
                </c:pt>
                <c:pt idx="29">
                  <c:v>2.27</c:v>
                </c:pt>
                <c:pt idx="30">
                  <c:v>2.41</c:v>
                </c:pt>
                <c:pt idx="31">
                  <c:v>2.52</c:v>
                </c:pt>
                <c:pt idx="32">
                  <c:v>2.64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4-534D-A9DA-514334954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18688"/>
        <c:axId val="106020224"/>
      </c:scatterChart>
      <c:valAx>
        <c:axId val="10601868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106020224"/>
        <c:crosses val="autoZero"/>
        <c:crossBetween val="midCat"/>
      </c:valAx>
      <c:valAx>
        <c:axId val="106020224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6018688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Лист1!$AK$1</c:f>
              <c:strCache>
                <c:ptCount val="1"/>
                <c:pt idx="0">
                  <c:v>b*(D65)</c:v>
                </c:pt>
              </c:strCache>
            </c:strRef>
          </c:tx>
          <c:xVal>
            <c:numRef>
              <c:f>Лист1!$AK$2:$AK$34</c:f>
              <c:numCache>
                <c:formatCode>General</c:formatCode>
                <c:ptCount val="33"/>
                <c:pt idx="0">
                  <c:v>14.79</c:v>
                </c:pt>
                <c:pt idx="1">
                  <c:v>14.62</c:v>
                </c:pt>
                <c:pt idx="2">
                  <c:v>14.45</c:v>
                </c:pt>
                <c:pt idx="3">
                  <c:v>14.75</c:v>
                </c:pt>
                <c:pt idx="4">
                  <c:v>15.3</c:v>
                </c:pt>
                <c:pt idx="5">
                  <c:v>15.75</c:v>
                </c:pt>
                <c:pt idx="6">
                  <c:v>15.17</c:v>
                </c:pt>
                <c:pt idx="7">
                  <c:v>13.49</c:v>
                </c:pt>
                <c:pt idx="8">
                  <c:v>13.7</c:v>
                </c:pt>
                <c:pt idx="9">
                  <c:v>13.31</c:v>
                </c:pt>
                <c:pt idx="10">
                  <c:v>13.29</c:v>
                </c:pt>
                <c:pt idx="11">
                  <c:v>13.06</c:v>
                </c:pt>
                <c:pt idx="12">
                  <c:v>12.96</c:v>
                </c:pt>
                <c:pt idx="13">
                  <c:v>13.27</c:v>
                </c:pt>
                <c:pt idx="14">
                  <c:v>13.37</c:v>
                </c:pt>
                <c:pt idx="15">
                  <c:v>14.52</c:v>
                </c:pt>
                <c:pt idx="16">
                  <c:v>14.58</c:v>
                </c:pt>
                <c:pt idx="17">
                  <c:v>14.68</c:v>
                </c:pt>
                <c:pt idx="18">
                  <c:v>14.63</c:v>
                </c:pt>
                <c:pt idx="19">
                  <c:v>14.04</c:v>
                </c:pt>
                <c:pt idx="20">
                  <c:v>12.35</c:v>
                </c:pt>
                <c:pt idx="21">
                  <c:v>10.73</c:v>
                </c:pt>
                <c:pt idx="22">
                  <c:v>8.86</c:v>
                </c:pt>
                <c:pt idx="23">
                  <c:v>8.43</c:v>
                </c:pt>
                <c:pt idx="24">
                  <c:v>8.44</c:v>
                </c:pt>
                <c:pt idx="25">
                  <c:v>8.75</c:v>
                </c:pt>
                <c:pt idx="26">
                  <c:v>8.5</c:v>
                </c:pt>
                <c:pt idx="27">
                  <c:v>8.9600000000000009</c:v>
                </c:pt>
                <c:pt idx="28">
                  <c:v>9.3699999999999992</c:v>
                </c:pt>
                <c:pt idx="29">
                  <c:v>9.6300000000000008</c:v>
                </c:pt>
                <c:pt idx="30">
                  <c:v>9.8800000000000008</c:v>
                </c:pt>
                <c:pt idx="31">
                  <c:v>10.3</c:v>
                </c:pt>
                <c:pt idx="32">
                  <c:v>11.28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1-E141-8B90-A62F248C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1424"/>
        <c:axId val="122253696"/>
      </c:scatterChart>
      <c:valAx>
        <c:axId val="122231424"/>
        <c:scaling>
          <c:orientation val="minMax"/>
          <c:min val="7"/>
        </c:scaling>
        <c:delete val="0"/>
        <c:axPos val="t"/>
        <c:numFmt formatCode="General" sourceLinked="1"/>
        <c:majorTickMark val="out"/>
        <c:minorTickMark val="none"/>
        <c:tickLblPos val="nextTo"/>
        <c:crossAx val="122253696"/>
        <c:crosses val="autoZero"/>
        <c:crossBetween val="midCat"/>
      </c:valAx>
      <c:valAx>
        <c:axId val="122253696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2231424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Лист1!$AM$1</c:f>
              <c:strCache>
                <c:ptCount val="1"/>
                <c:pt idx="0">
                  <c:v>Cs-137, Bq/kg</c:v>
                </c:pt>
              </c:strCache>
            </c:strRef>
          </c:tx>
          <c:xVal>
            <c:numRef>
              <c:f>Лист1!$AM$2:$AM$34</c:f>
              <c:numCache>
                <c:formatCode>0.0</c:formatCode>
                <c:ptCount val="33"/>
                <c:pt idx="0">
                  <c:v>8.1937020111827383</c:v>
                </c:pt>
                <c:pt idx="1">
                  <c:v>4.8053353201210642</c:v>
                </c:pt>
                <c:pt idx="2">
                  <c:v>9.4443881751767549</c:v>
                </c:pt>
                <c:pt idx="3">
                  <c:v>7.5137970460074834</c:v>
                </c:pt>
                <c:pt idx="4">
                  <c:v>7.1361727703725286</c:v>
                </c:pt>
                <c:pt idx="5">
                  <c:v>4.969776435391756</c:v>
                </c:pt>
                <c:pt idx="6">
                  <c:v>9.9507416520973795</c:v>
                </c:pt>
                <c:pt idx="7">
                  <c:v>11.53837614331705</c:v>
                </c:pt>
                <c:pt idx="8">
                  <c:v>14.778767887277867</c:v>
                </c:pt>
                <c:pt idx="9">
                  <c:v>16.931439213228554</c:v>
                </c:pt>
                <c:pt idx="10">
                  <c:v>18.006123170461066</c:v>
                </c:pt>
                <c:pt idx="11">
                  <c:v>19.256525100468576</c:v>
                </c:pt>
                <c:pt idx="12">
                  <c:v>12.473615042026152</c:v>
                </c:pt>
                <c:pt idx="13">
                  <c:v>11.614478440150913</c:v>
                </c:pt>
                <c:pt idx="14">
                  <c:v>9.0505438656199004</c:v>
                </c:pt>
                <c:pt idx="15">
                  <c:v>4.392769369834169</c:v>
                </c:pt>
                <c:pt idx="16">
                  <c:v>4.7269322162647036</c:v>
                </c:pt>
                <c:pt idx="17">
                  <c:v>0</c:v>
                </c:pt>
                <c:pt idx="18">
                  <c:v>1.9886279458646603</c:v>
                </c:pt>
                <c:pt idx="19">
                  <c:v>0.44847270099018838</c:v>
                </c:pt>
                <c:pt idx="20">
                  <c:v>0.85904786598215521</c:v>
                </c:pt>
                <c:pt idx="21">
                  <c:v>0</c:v>
                </c:pt>
                <c:pt idx="22">
                  <c:v>0.90810878516964411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1.9924128571891628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A-7041-949A-20F1407EB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73792"/>
        <c:axId val="122275328"/>
      </c:scatterChart>
      <c:valAx>
        <c:axId val="122273792"/>
        <c:scaling>
          <c:orientation val="minMax"/>
        </c:scaling>
        <c:delete val="0"/>
        <c:axPos val="t"/>
        <c:numFmt formatCode="0.0" sourceLinked="1"/>
        <c:majorTickMark val="out"/>
        <c:minorTickMark val="none"/>
        <c:tickLblPos val="nextTo"/>
        <c:crossAx val="122275328"/>
        <c:crosses val="autoZero"/>
        <c:crossBetween val="midCat"/>
      </c:valAx>
      <c:valAx>
        <c:axId val="122275328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2273792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Лист1!$AN$1</c:f>
              <c:strCache>
                <c:ptCount val="1"/>
                <c:pt idx="0">
                  <c:v>Pb-210, Bq/kg</c:v>
                </c:pt>
              </c:strCache>
            </c:strRef>
          </c:tx>
          <c:xVal>
            <c:numRef>
              <c:f>Лист1!$AN$2:$AN$34</c:f>
              <c:numCache>
                <c:formatCode>General</c:formatCode>
                <c:ptCount val="33"/>
                <c:pt idx="0">
                  <c:v>162.39499307216425</c:v>
                </c:pt>
                <c:pt idx="1">
                  <c:v>133.60672262459929</c:v>
                </c:pt>
                <c:pt idx="2">
                  <c:v>163.41055337323903</c:v>
                </c:pt>
                <c:pt idx="3">
                  <c:v>129.17164469515203</c:v>
                </c:pt>
                <c:pt idx="4">
                  <c:v>143.71626719876477</c:v>
                </c:pt>
                <c:pt idx="5">
                  <c:v>94.59600191757049</c:v>
                </c:pt>
                <c:pt idx="6">
                  <c:v>99.285210904053827</c:v>
                </c:pt>
                <c:pt idx="7">
                  <c:v>111.42881678008442</c:v>
                </c:pt>
                <c:pt idx="8">
                  <c:v>86.589689330818729</c:v>
                </c:pt>
                <c:pt idx="9">
                  <c:v>42.996411358375838</c:v>
                </c:pt>
                <c:pt idx="10">
                  <c:v>52.81790709877901</c:v>
                </c:pt>
                <c:pt idx="11">
                  <c:v>46.694693473378564</c:v>
                </c:pt>
                <c:pt idx="12">
                  <c:v>45.87317139193884</c:v>
                </c:pt>
                <c:pt idx="13">
                  <c:v>44.826186385185188</c:v>
                </c:pt>
                <c:pt idx="14">
                  <c:v>39.334697843356487</c:v>
                </c:pt>
                <c:pt idx="15">
                  <c:v>32.826267403636983</c:v>
                </c:pt>
                <c:pt idx="16">
                  <c:v>34.495661038169935</c:v>
                </c:pt>
                <c:pt idx="17">
                  <c:v>44.742548857658413</c:v>
                </c:pt>
                <c:pt idx="18">
                  <c:v>36.17271389307453</c:v>
                </c:pt>
                <c:pt idx="19">
                  <c:v>27.680932102992514</c:v>
                </c:pt>
                <c:pt idx="20">
                  <c:v>32.547408510685081</c:v>
                </c:pt>
                <c:pt idx="21">
                  <c:v>35.900254830704078</c:v>
                </c:pt>
                <c:pt idx="22">
                  <c:v>42.163051286233326</c:v>
                </c:pt>
                <c:pt idx="23">
                  <c:v>49.513362379306372</c:v>
                </c:pt>
                <c:pt idx="24">
                  <c:v>33.31835226418864</c:v>
                </c:pt>
                <c:pt idx="25">
                  <c:v>29.633098289038536</c:v>
                </c:pt>
                <c:pt idx="26">
                  <c:v>38.715650660753091</c:v>
                </c:pt>
                <c:pt idx="27">
                  <c:v>33.836839710595591</c:v>
                </c:pt>
                <c:pt idx="28">
                  <c:v>29.02544223680064</c:v>
                </c:pt>
                <c:pt idx="29">
                  <c:v>25.810687536467814</c:v>
                </c:pt>
                <c:pt idx="30">
                  <c:v>23.774066321500676</c:v>
                </c:pt>
                <c:pt idx="31">
                  <c:v>28.391057862557133</c:v>
                </c:pt>
                <c:pt idx="32">
                  <c:v>32.448188443597751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02-0C41-8203-A37508F65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98272"/>
        <c:axId val="123799808"/>
      </c:scatterChart>
      <c:valAx>
        <c:axId val="12379827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123799808"/>
        <c:crosses val="autoZero"/>
        <c:crossBetween val="midCat"/>
      </c:valAx>
      <c:valAx>
        <c:axId val="123799808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3798272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>
        <c:manualLayout>
          <c:xMode val="edge"/>
          <c:yMode val="edge"/>
          <c:x val="0.27889000000000003"/>
          <c:y val="2.364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Лист1!$AO$1</c:f>
              <c:strCache>
                <c:ptCount val="1"/>
                <c:pt idx="0">
                  <c:v>Ra-226, Bq/kg</c:v>
                </c:pt>
              </c:strCache>
            </c:strRef>
          </c:tx>
          <c:xVal>
            <c:numRef>
              <c:f>Лист1!$AO$2:$AO$34</c:f>
              <c:numCache>
                <c:formatCode>General</c:formatCode>
                <c:ptCount val="33"/>
                <c:pt idx="0">
                  <c:v>2.4989234711184172</c:v>
                </c:pt>
                <c:pt idx="1">
                  <c:v>1.6144407201987769</c:v>
                </c:pt>
                <c:pt idx="2">
                  <c:v>0.78610751556014946</c:v>
                </c:pt>
                <c:pt idx="3">
                  <c:v>0</c:v>
                </c:pt>
                <c:pt idx="4">
                  <c:v>2.1163367985135921</c:v>
                </c:pt>
                <c:pt idx="5">
                  <c:v>0</c:v>
                </c:pt>
                <c:pt idx="6">
                  <c:v>1.4775460721767273</c:v>
                </c:pt>
                <c:pt idx="7">
                  <c:v>1.9150520154555122</c:v>
                </c:pt>
                <c:pt idx="8">
                  <c:v>0</c:v>
                </c:pt>
                <c:pt idx="9">
                  <c:v>1.7244447675232779</c:v>
                </c:pt>
                <c:pt idx="10">
                  <c:v>3.795306173307631</c:v>
                </c:pt>
                <c:pt idx="11">
                  <c:v>4.3675527813808017</c:v>
                </c:pt>
                <c:pt idx="12">
                  <c:v>3.3783508722108042</c:v>
                </c:pt>
                <c:pt idx="13">
                  <c:v>7.0100495282754851</c:v>
                </c:pt>
                <c:pt idx="14">
                  <c:v>9.0677915141498069</c:v>
                </c:pt>
                <c:pt idx="15">
                  <c:v>12.29497948622064</c:v>
                </c:pt>
                <c:pt idx="16">
                  <c:v>49.581408572776503</c:v>
                </c:pt>
                <c:pt idx="17">
                  <c:v>7.2344952170964767</c:v>
                </c:pt>
                <c:pt idx="18">
                  <c:v>10.6958230551067</c:v>
                </c:pt>
                <c:pt idx="19">
                  <c:v>15.0823319224309</c:v>
                </c:pt>
                <c:pt idx="20">
                  <c:v>13.524401403136448</c:v>
                </c:pt>
                <c:pt idx="21">
                  <c:v>11.297619708950453</c:v>
                </c:pt>
                <c:pt idx="22">
                  <c:v>6.3070673872539365</c:v>
                </c:pt>
                <c:pt idx="23">
                  <c:v>6.8074422449617931</c:v>
                </c:pt>
                <c:pt idx="24">
                  <c:v>5.4775905376854732</c:v>
                </c:pt>
                <c:pt idx="25">
                  <c:v>4.8254290874708916</c:v>
                </c:pt>
                <c:pt idx="26">
                  <c:v>6.50483922283287</c:v>
                </c:pt>
                <c:pt idx="27">
                  <c:v>7.2527828992453571</c:v>
                </c:pt>
                <c:pt idx="28">
                  <c:v>4.4975328295516634</c:v>
                </c:pt>
                <c:pt idx="29">
                  <c:v>5.4253195361955484</c:v>
                </c:pt>
                <c:pt idx="30">
                  <c:v>5.2941726223039165</c:v>
                </c:pt>
                <c:pt idx="31">
                  <c:v>6.6729394757141529</c:v>
                </c:pt>
                <c:pt idx="32">
                  <c:v>29.292988651774508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A-3D44-A3F4-DA99DEA37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27712"/>
        <c:axId val="123829248"/>
      </c:scatterChart>
      <c:valAx>
        <c:axId val="12382771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123829248"/>
        <c:crosses val="autoZero"/>
        <c:crossBetween val="midCat"/>
      </c:valAx>
      <c:valAx>
        <c:axId val="123829248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3827712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txPr>
        <a:bodyPr/>
        <a:lstStyle/>
        <a:p>
          <a:pPr>
            <a:defRPr sz="1100"/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8893799999999999"/>
          <c:y val="0.18826000000000001"/>
          <c:w val="0.65903400000000001"/>
          <c:h val="0.77551700000000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Лист1!$N$1</c:f>
              <c:strCache>
                <c:ptCount val="1"/>
                <c:pt idx="0">
                  <c:v>Терригенное ве-во, %</c:v>
                </c:pt>
              </c:strCache>
            </c:strRef>
          </c:tx>
          <c:xVal>
            <c:numRef>
              <c:f>Лист1!$N$2:$N$34</c:f>
              <c:numCache>
                <c:formatCode>0.00</c:formatCode>
                <c:ptCount val="33"/>
                <c:pt idx="0">
                  <c:v>52.137931034482762</c:v>
                </c:pt>
                <c:pt idx="1">
                  <c:v>51.574324324324309</c:v>
                </c:pt>
                <c:pt idx="2">
                  <c:v>51.34170854271332</c:v>
                </c:pt>
                <c:pt idx="3">
                  <c:v>51.176470588235162</c:v>
                </c:pt>
                <c:pt idx="4">
                  <c:v>52.86713286713286</c:v>
                </c:pt>
                <c:pt idx="5">
                  <c:v>56.255760368663587</c:v>
                </c:pt>
                <c:pt idx="6">
                  <c:v>60.290827740492162</c:v>
                </c:pt>
                <c:pt idx="7">
                  <c:v>68.585999999999984</c:v>
                </c:pt>
                <c:pt idx="8">
                  <c:v>70.507070707070696</c:v>
                </c:pt>
                <c:pt idx="9">
                  <c:v>74.481415929203564</c:v>
                </c:pt>
                <c:pt idx="10">
                  <c:v>77.063909774436183</c:v>
                </c:pt>
                <c:pt idx="11">
                  <c:v>79.013114754098282</c:v>
                </c:pt>
                <c:pt idx="12">
                  <c:v>80.797124600638966</c:v>
                </c:pt>
                <c:pt idx="13">
                  <c:v>82.09601181683901</c:v>
                </c:pt>
                <c:pt idx="14">
                  <c:v>83.75</c:v>
                </c:pt>
                <c:pt idx="15">
                  <c:v>85.928270042194143</c:v>
                </c:pt>
                <c:pt idx="16">
                  <c:v>87.078005115089539</c:v>
                </c:pt>
                <c:pt idx="17">
                  <c:v>87.1933333333333</c:v>
                </c:pt>
                <c:pt idx="18">
                  <c:v>87.694960212201579</c:v>
                </c:pt>
                <c:pt idx="19">
                  <c:v>87.608805031446551</c:v>
                </c:pt>
                <c:pt idx="20">
                  <c:v>86.397190293742057</c:v>
                </c:pt>
                <c:pt idx="21">
                  <c:v>82.571428571428569</c:v>
                </c:pt>
                <c:pt idx="22">
                  <c:v>75.783823529411706</c:v>
                </c:pt>
                <c:pt idx="23">
                  <c:v>70.766197183098654</c:v>
                </c:pt>
                <c:pt idx="24">
                  <c:v>69.221698113207538</c:v>
                </c:pt>
                <c:pt idx="25">
                  <c:v>69.658208955223927</c:v>
                </c:pt>
                <c:pt idx="26">
                  <c:v>71.321958456973292</c:v>
                </c:pt>
                <c:pt idx="27">
                  <c:v>72.476648351648265</c:v>
                </c:pt>
                <c:pt idx="28">
                  <c:v>73.128571428571405</c:v>
                </c:pt>
                <c:pt idx="29">
                  <c:v>74.597982708933642</c:v>
                </c:pt>
                <c:pt idx="30">
                  <c:v>75.787318361955101</c:v>
                </c:pt>
                <c:pt idx="31">
                  <c:v>76.128818061088978</c:v>
                </c:pt>
                <c:pt idx="32">
                  <c:v>76.114624505928873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C-944A-895C-890A3CE58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97472"/>
        <c:axId val="126699008"/>
      </c:scatterChart>
      <c:valAx>
        <c:axId val="126697472"/>
        <c:scaling>
          <c:orientation val="minMax"/>
          <c:min val="50"/>
        </c:scaling>
        <c:delete val="0"/>
        <c:axPos val="t"/>
        <c:numFmt formatCode="0.00" sourceLinked="1"/>
        <c:majorTickMark val="out"/>
        <c:minorTickMark val="none"/>
        <c:tickLblPos val="nextTo"/>
        <c:crossAx val="126699008"/>
        <c:crosses val="autoZero"/>
        <c:crossBetween val="midCat"/>
      </c:valAx>
      <c:valAx>
        <c:axId val="126699008"/>
        <c:scaling>
          <c:orientation val="maxMin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26697472"/>
        <c:crosses val="autoZero"/>
        <c:crossBetween val="midCat"/>
      </c:valAx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ППП 550, %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771"/>
          <c:y val="0.13169"/>
          <c:w val="0.60387000000000002"/>
          <c:h val="0.83113000000000004"/>
        </c:manualLayout>
      </c:layout>
      <c:scatterChart>
        <c:scatterStyle val="lineMarker"/>
        <c:varyColors val="0"/>
        <c:ser>
          <c:idx val="0"/>
          <c:order val="0"/>
          <c:tx>
            <c:v>Kas-17</c:v>
          </c:tx>
          <c:xVal>
            <c:numRef>
              <c:f>Лист1!$I$2:$I$34</c:f>
              <c:numCache>
                <c:formatCode>0.00</c:formatCode>
                <c:ptCount val="33"/>
                <c:pt idx="0">
                  <c:v>16.55172413793116</c:v>
                </c:pt>
                <c:pt idx="1">
                  <c:v>16.216216216216107</c:v>
                </c:pt>
                <c:pt idx="2">
                  <c:v>15.577889447236116</c:v>
                </c:pt>
                <c:pt idx="3">
                  <c:v>15.441176470588175</c:v>
                </c:pt>
                <c:pt idx="4">
                  <c:v>15.384615384615538</c:v>
                </c:pt>
                <c:pt idx="5">
                  <c:v>14.976958525345591</c:v>
                </c:pt>
                <c:pt idx="6">
                  <c:v>14.317673378076073</c:v>
                </c:pt>
                <c:pt idx="7">
                  <c:v>12.800000000000011</c:v>
                </c:pt>
                <c:pt idx="8">
                  <c:v>12.525252525252482</c:v>
                </c:pt>
                <c:pt idx="9">
                  <c:v>11.858407079645989</c:v>
                </c:pt>
                <c:pt idx="10">
                  <c:v>11.84210526315788</c:v>
                </c:pt>
                <c:pt idx="11">
                  <c:v>11.311475409836085</c:v>
                </c:pt>
                <c:pt idx="12">
                  <c:v>10.862619808306704</c:v>
                </c:pt>
                <c:pt idx="13">
                  <c:v>10.192023633677959</c:v>
                </c:pt>
                <c:pt idx="14">
                  <c:v>9.8011363636363793</c:v>
                </c:pt>
                <c:pt idx="15">
                  <c:v>9.2827004219409286</c:v>
                </c:pt>
                <c:pt idx="16">
                  <c:v>8.5677749360614026</c:v>
                </c:pt>
                <c:pt idx="17">
                  <c:v>8.2666666666666355</c:v>
                </c:pt>
                <c:pt idx="18">
                  <c:v>8.0901856763925668</c:v>
                </c:pt>
                <c:pt idx="19">
                  <c:v>8.6792452830188829</c:v>
                </c:pt>
                <c:pt idx="20">
                  <c:v>9.8339719029374155</c:v>
                </c:pt>
                <c:pt idx="21">
                  <c:v>12.533692722371962</c:v>
                </c:pt>
                <c:pt idx="22">
                  <c:v>17.205882352941199</c:v>
                </c:pt>
                <c:pt idx="23">
                  <c:v>20.281690140845086</c:v>
                </c:pt>
                <c:pt idx="24">
                  <c:v>21.855345911949691</c:v>
                </c:pt>
                <c:pt idx="25">
                  <c:v>21.194029850746244</c:v>
                </c:pt>
                <c:pt idx="26">
                  <c:v>19.584569732937695</c:v>
                </c:pt>
                <c:pt idx="27">
                  <c:v>17.857142857142865</c:v>
                </c:pt>
                <c:pt idx="28">
                  <c:v>17.142857142857139</c:v>
                </c:pt>
                <c:pt idx="29">
                  <c:v>16.570605187319863</c:v>
                </c:pt>
                <c:pt idx="30">
                  <c:v>16.116248348745035</c:v>
                </c:pt>
                <c:pt idx="31">
                  <c:v>16.334661354581677</c:v>
                </c:pt>
                <c:pt idx="32">
                  <c:v>15.810276679841889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6-544A-B6DB-E0CD214DE1E5}"/>
            </c:ext>
          </c:extLst>
        </c:ser>
        <c:ser>
          <c:idx val="1"/>
          <c:order val="1"/>
          <c:tx>
            <c:v>Kas-17_Top</c:v>
          </c:tx>
          <c:xVal>
            <c:numRef>
              <c:f>Лист1!$D$63:$D$92</c:f>
              <c:numCache>
                <c:formatCode>0.0</c:formatCode>
                <c:ptCount val="30"/>
              </c:numCache>
            </c:numRef>
          </c:xVal>
          <c:yVal>
            <c:numRef>
              <c:f>Лист1!$C$63:$C$92</c:f>
              <c:numCache>
                <c:formatCode>General</c:formatCode>
                <c:ptCount val="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6-544A-B6DB-E0CD214D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44832"/>
        <c:axId val="126631936"/>
      </c:scatterChart>
      <c:valAx>
        <c:axId val="126744832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nextTo"/>
        <c:crossAx val="126631936"/>
        <c:crosses val="autoZero"/>
        <c:crossBetween val="midCat"/>
      </c:valAx>
      <c:valAx>
        <c:axId val="126631936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/>
                </a:pPr>
                <a:r>
                  <a:rPr lang="ru-RU" sz="2000"/>
                  <a:t>Глуб., см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26744832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CaCO3, 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Kas-17</c:v>
          </c:tx>
          <c:xVal>
            <c:numRef>
              <c:f>Лист1!$K$2:$K$34</c:f>
              <c:numCache>
                <c:formatCode>0.00</c:formatCode>
                <c:ptCount val="33"/>
                <c:pt idx="0">
                  <c:v>31.310344827586075</c:v>
                </c:pt>
                <c:pt idx="1">
                  <c:v>32.209459459459588</c:v>
                </c:pt>
                <c:pt idx="2">
                  <c:v>33.080402010050562</c:v>
                </c:pt>
                <c:pt idx="3">
                  <c:v>33.382352941176663</c:v>
                </c:pt>
                <c:pt idx="4">
                  <c:v>31.748251748251601</c:v>
                </c:pt>
                <c:pt idx="5">
                  <c:v>28.767281105990822</c:v>
                </c:pt>
                <c:pt idx="6">
                  <c:v>25.391498881431765</c:v>
                </c:pt>
                <c:pt idx="7">
                  <c:v>18.614000000000008</c:v>
                </c:pt>
                <c:pt idx="8">
                  <c:v>16.967676767676824</c:v>
                </c:pt>
                <c:pt idx="9">
                  <c:v>13.660176991150442</c:v>
                </c:pt>
                <c:pt idx="10">
                  <c:v>11.093984962405932</c:v>
                </c:pt>
                <c:pt idx="11">
                  <c:v>9.6754098360656311</c:v>
                </c:pt>
                <c:pt idx="12">
                  <c:v>8.3402555910543281</c:v>
                </c:pt>
                <c:pt idx="13">
                  <c:v>7.7119645494830289</c:v>
                </c:pt>
                <c:pt idx="14">
                  <c:v>6.4488636363636127</c:v>
                </c:pt>
                <c:pt idx="15">
                  <c:v>4.7890295358649322</c:v>
                </c:pt>
                <c:pt idx="16">
                  <c:v>4.3542199488490638</c:v>
                </c:pt>
                <c:pt idx="17">
                  <c:v>4.5400000000000658</c:v>
                </c:pt>
                <c:pt idx="18">
                  <c:v>4.2148541114058533</c:v>
                </c:pt>
                <c:pt idx="19">
                  <c:v>3.7119496855345622</c:v>
                </c:pt>
                <c:pt idx="20">
                  <c:v>3.7688378033205328</c:v>
                </c:pt>
                <c:pt idx="21">
                  <c:v>4.8948787061994645</c:v>
                </c:pt>
                <c:pt idx="22">
                  <c:v>7.0102941176470868</c:v>
                </c:pt>
                <c:pt idx="23">
                  <c:v>8.9521126760562595</c:v>
                </c:pt>
                <c:pt idx="24">
                  <c:v>8.9229559748427647</c:v>
                </c:pt>
                <c:pt idx="25">
                  <c:v>9.1477611940298367</c:v>
                </c:pt>
                <c:pt idx="26">
                  <c:v>9.0934718100890102</c:v>
                </c:pt>
                <c:pt idx="27">
                  <c:v>9.6662087912088612</c:v>
                </c:pt>
                <c:pt idx="28">
                  <c:v>9.7285714285714544</c:v>
                </c:pt>
                <c:pt idx="29">
                  <c:v>8.8314121037464997</c:v>
                </c:pt>
                <c:pt idx="30">
                  <c:v>8.0964332892998563</c:v>
                </c:pt>
                <c:pt idx="31">
                  <c:v>7.5365205843293488</c:v>
                </c:pt>
                <c:pt idx="32">
                  <c:v>8.0750988142292375</c:v>
                </c:pt>
              </c:numCache>
            </c:numRef>
          </c:xVal>
          <c:yVal>
            <c:numRef>
              <c:f>Лист1!$G$2:$G$34</c:f>
              <c:numCache>
                <c:formatCode>0</c:formatCode>
                <c:ptCount val="33"/>
                <c:pt idx="0">
                  <c:v>0.30000000000001137</c:v>
                </c:pt>
                <c:pt idx="1">
                  <c:v>3.14699999999999</c:v>
                </c:pt>
                <c:pt idx="2">
                  <c:v>6.0684374999999591</c:v>
                </c:pt>
                <c:pt idx="3">
                  <c:v>8.3479375000000005</c:v>
                </c:pt>
                <c:pt idx="4">
                  <c:v>10.848687499999983</c:v>
                </c:pt>
                <c:pt idx="5">
                  <c:v>13.57068750000002</c:v>
                </c:pt>
                <c:pt idx="6">
                  <c:v>16.513937499999997</c:v>
                </c:pt>
                <c:pt idx="7">
                  <c:v>19.67843750000003</c:v>
                </c:pt>
                <c:pt idx="8">
                  <c:v>23.064187500000003</c:v>
                </c:pt>
                <c:pt idx="9">
                  <c:v>26.671187499999974</c:v>
                </c:pt>
                <c:pt idx="10">
                  <c:v>30.906600000000026</c:v>
                </c:pt>
                <c:pt idx="11">
                  <c:v>34.956099999999992</c:v>
                </c:pt>
                <c:pt idx="12">
                  <c:v>38.819687499999986</c:v>
                </c:pt>
                <c:pt idx="13">
                  <c:v>43.311687500000005</c:v>
                </c:pt>
                <c:pt idx="14">
                  <c:v>48.024937499999965</c:v>
                </c:pt>
                <c:pt idx="15">
                  <c:v>52.959437499999979</c:v>
                </c:pt>
                <c:pt idx="16">
                  <c:v>58.11518749999999</c:v>
                </c:pt>
                <c:pt idx="17">
                  <c:v>63.4921875</c:v>
                </c:pt>
                <c:pt idx="18">
                  <c:v>69.090437500000007</c:v>
                </c:pt>
                <c:pt idx="19">
                  <c:v>76.126937499999997</c:v>
                </c:pt>
                <c:pt idx="20">
                  <c:v>82.1676875</c:v>
                </c:pt>
                <c:pt idx="21">
                  <c:v>87.212687500000015</c:v>
                </c:pt>
                <c:pt idx="22">
                  <c:v>93.695937500000014</c:v>
                </c:pt>
                <c:pt idx="23">
                  <c:v>100.40043750000001</c:v>
                </c:pt>
                <c:pt idx="24">
                  <c:v>107.3261875</c:v>
                </c:pt>
                <c:pt idx="25">
                  <c:v>114.47318749999999</c:v>
                </c:pt>
                <c:pt idx="26">
                  <c:v>121.84143749999998</c:v>
                </c:pt>
                <c:pt idx="27">
                  <c:v>129.43093750000003</c:v>
                </c:pt>
                <c:pt idx="28">
                  <c:v>137.24168750000001</c:v>
                </c:pt>
                <c:pt idx="29">
                  <c:v>145.27368749999999</c:v>
                </c:pt>
                <c:pt idx="30">
                  <c:v>153.52693750000003</c:v>
                </c:pt>
                <c:pt idx="31">
                  <c:v>162.00143750000001</c:v>
                </c:pt>
                <c:pt idx="32">
                  <c:v>170.69718749999998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B-734F-ABCE-9544B4967794}"/>
            </c:ext>
          </c:extLst>
        </c:ser>
        <c:ser>
          <c:idx val="1"/>
          <c:order val="1"/>
          <c:tx>
            <c:v>Kas-17_Top</c:v>
          </c:tx>
          <c:xVal>
            <c:numRef>
              <c:f>Лист1!$E$63:$E$92</c:f>
              <c:numCache>
                <c:formatCode>0.0</c:formatCode>
                <c:ptCount val="30"/>
              </c:numCache>
            </c:numRef>
          </c:xVal>
          <c:yVal>
            <c:numRef>
              <c:f>Лист1!$C$63:$C$92</c:f>
              <c:numCache>
                <c:formatCode>General</c:formatCode>
                <c:ptCount val="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B-734F-ABCE-9544B4967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69568"/>
        <c:axId val="126671104"/>
      </c:scatterChart>
      <c:valAx>
        <c:axId val="126669568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nextTo"/>
        <c:crossAx val="126671104"/>
        <c:crosses val="autoZero"/>
        <c:crossBetween val="midCat"/>
      </c:valAx>
      <c:valAx>
        <c:axId val="126671104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/>
                </a:pPr>
                <a:r>
                  <a:rPr lang="ru-RU" sz="2000"/>
                  <a:t>Глуб., см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26669568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35</xdr:row>
      <xdr:rowOff>139700</xdr:rowOff>
    </xdr:from>
    <xdr:to>
      <xdr:col>2</xdr:col>
      <xdr:colOff>787399</xdr:colOff>
      <xdr:row>56</xdr:row>
      <xdr:rowOff>31750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825500</xdr:colOff>
      <xdr:row>35</xdr:row>
      <xdr:rowOff>146050</xdr:rowOff>
    </xdr:from>
    <xdr:to>
      <xdr:col>5</xdr:col>
      <xdr:colOff>457200</xdr:colOff>
      <xdr:row>56</xdr:row>
      <xdr:rowOff>38100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279400</xdr:colOff>
      <xdr:row>35</xdr:row>
      <xdr:rowOff>165100</xdr:rowOff>
    </xdr:from>
    <xdr:to>
      <xdr:col>10</xdr:col>
      <xdr:colOff>393699</xdr:colOff>
      <xdr:row>56</xdr:row>
      <xdr:rowOff>57150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406400</xdr:colOff>
      <xdr:row>35</xdr:row>
      <xdr:rowOff>171450</xdr:rowOff>
    </xdr:from>
    <xdr:to>
      <xdr:col>13</xdr:col>
      <xdr:colOff>101600</xdr:colOff>
      <xdr:row>56</xdr:row>
      <xdr:rowOff>63500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31588</xdr:colOff>
      <xdr:row>36</xdr:row>
      <xdr:rowOff>0</xdr:rowOff>
    </xdr:from>
    <xdr:to>
      <xdr:col>16</xdr:col>
      <xdr:colOff>63500</xdr:colOff>
      <xdr:row>56</xdr:row>
      <xdr:rowOff>82550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584200</xdr:colOff>
      <xdr:row>35</xdr:row>
      <xdr:rowOff>165100</xdr:rowOff>
    </xdr:from>
    <xdr:to>
      <xdr:col>20</xdr:col>
      <xdr:colOff>88900</xdr:colOff>
      <xdr:row>56</xdr:row>
      <xdr:rowOff>57150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38100</xdr:colOff>
      <xdr:row>35</xdr:row>
      <xdr:rowOff>165100</xdr:rowOff>
    </xdr:from>
    <xdr:to>
      <xdr:col>24</xdr:col>
      <xdr:colOff>152400</xdr:colOff>
      <xdr:row>56</xdr:row>
      <xdr:rowOff>57150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101600</xdr:colOff>
      <xdr:row>35</xdr:row>
      <xdr:rowOff>158750</xdr:rowOff>
    </xdr:from>
    <xdr:to>
      <xdr:col>28</xdr:col>
      <xdr:colOff>215900</xdr:colOff>
      <xdr:row>56</xdr:row>
      <xdr:rowOff>50800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171450</xdr:colOff>
      <xdr:row>35</xdr:row>
      <xdr:rowOff>158750</xdr:rowOff>
    </xdr:from>
    <xdr:to>
      <xdr:col>32</xdr:col>
      <xdr:colOff>285750</xdr:colOff>
      <xdr:row>56</xdr:row>
      <xdr:rowOff>50800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234950</xdr:colOff>
      <xdr:row>35</xdr:row>
      <xdr:rowOff>158750</xdr:rowOff>
    </xdr:from>
    <xdr:to>
      <xdr:col>36</xdr:col>
      <xdr:colOff>349249</xdr:colOff>
      <xdr:row>56</xdr:row>
      <xdr:rowOff>50800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315684</xdr:colOff>
      <xdr:row>35</xdr:row>
      <xdr:rowOff>146049</xdr:rowOff>
    </xdr:from>
    <xdr:to>
      <xdr:col>40</xdr:col>
      <xdr:colOff>429985</xdr:colOff>
      <xdr:row>56</xdr:row>
      <xdr:rowOff>38099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379230</xdr:colOff>
      <xdr:row>35</xdr:row>
      <xdr:rowOff>146049</xdr:rowOff>
    </xdr:from>
    <xdr:to>
      <xdr:col>44</xdr:col>
      <xdr:colOff>491671</xdr:colOff>
      <xdr:row>56</xdr:row>
      <xdr:rowOff>38099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44</xdr:col>
      <xdr:colOff>440871</xdr:colOff>
      <xdr:row>35</xdr:row>
      <xdr:rowOff>139699</xdr:rowOff>
    </xdr:from>
    <xdr:to>
      <xdr:col>48</xdr:col>
      <xdr:colOff>555171</xdr:colOff>
      <xdr:row>56</xdr:row>
      <xdr:rowOff>31749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48</xdr:col>
      <xdr:colOff>510721</xdr:colOff>
      <xdr:row>35</xdr:row>
      <xdr:rowOff>139699</xdr:rowOff>
    </xdr:from>
    <xdr:to>
      <xdr:col>53</xdr:col>
      <xdr:colOff>15421</xdr:colOff>
      <xdr:row>56</xdr:row>
      <xdr:rowOff>31749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52</xdr:col>
      <xdr:colOff>574221</xdr:colOff>
      <xdr:row>35</xdr:row>
      <xdr:rowOff>139699</xdr:rowOff>
    </xdr:from>
    <xdr:to>
      <xdr:col>57</xdr:col>
      <xdr:colOff>78921</xdr:colOff>
      <xdr:row>56</xdr:row>
      <xdr:rowOff>31749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57</xdr:col>
      <xdr:colOff>23586</xdr:colOff>
      <xdr:row>35</xdr:row>
      <xdr:rowOff>130627</xdr:rowOff>
    </xdr:from>
    <xdr:to>
      <xdr:col>61</xdr:col>
      <xdr:colOff>137885</xdr:colOff>
      <xdr:row>56</xdr:row>
      <xdr:rowOff>22678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482600</xdr:colOff>
      <xdr:row>35</xdr:row>
      <xdr:rowOff>152400</xdr:rowOff>
    </xdr:from>
    <xdr:to>
      <xdr:col>7</xdr:col>
      <xdr:colOff>254000</xdr:colOff>
      <xdr:row>56</xdr:row>
      <xdr:rowOff>44450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466029</xdr:colOff>
      <xdr:row>64</xdr:row>
      <xdr:rowOff>184726</xdr:rowOff>
    </xdr:from>
    <xdr:to>
      <xdr:col>14</xdr:col>
      <xdr:colOff>606477</xdr:colOff>
      <xdr:row>97</xdr:row>
      <xdr:rowOff>83127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415637</xdr:colOff>
      <xdr:row>65</xdr:row>
      <xdr:rowOff>34637</xdr:rowOff>
    </xdr:from>
    <xdr:to>
      <xdr:col>26</xdr:col>
      <xdr:colOff>429085</xdr:colOff>
      <xdr:row>97</xdr:row>
      <xdr:rowOff>117765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5"/>
  <sheetViews>
    <sheetView tabSelected="1" zoomScale="107" workbookViewId="0">
      <selection activeCell="O4" sqref="O4"/>
    </sheetView>
  </sheetViews>
  <sheetFormatPr baseColWidth="10" defaultColWidth="8.83203125" defaultRowHeight="15" x14ac:dyDescent="0.2"/>
  <cols>
    <col min="2" max="2" width="18.33203125" customWidth="1"/>
    <col min="3" max="3" width="13.6640625" customWidth="1"/>
    <col min="4" max="4" width="17.6640625" customWidth="1"/>
    <col min="5" max="5" width="12.5" customWidth="1"/>
    <col min="6" max="6" width="13.83203125" customWidth="1"/>
    <col min="7" max="7" width="19.1640625" customWidth="1"/>
    <col min="10" max="10" width="17.5" customWidth="1"/>
    <col min="12" max="12" width="17.33203125" customWidth="1"/>
    <col min="13" max="13" width="14.6640625" customWidth="1"/>
    <col min="14" max="14" width="18.6640625" customWidth="1"/>
  </cols>
  <sheetData>
    <row r="1" spans="1:41" x14ac:dyDescent="0.2">
      <c r="A1" s="1" t="s">
        <v>0</v>
      </c>
      <c r="B1" s="1"/>
      <c r="C1" s="1"/>
      <c r="E1" s="1"/>
      <c r="F1" s="1"/>
      <c r="G1" s="1" t="s">
        <v>29</v>
      </c>
      <c r="I1" t="s">
        <v>30</v>
      </c>
      <c r="J1" t="s">
        <v>31</v>
      </c>
      <c r="K1" t="s">
        <v>1</v>
      </c>
      <c r="L1" t="s">
        <v>2</v>
      </c>
      <c r="M1" t="s">
        <v>32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B1" t="s">
        <v>16</v>
      </c>
      <c r="AD1" t="s">
        <v>17</v>
      </c>
      <c r="AE1" t="s">
        <v>18</v>
      </c>
      <c r="AF1" t="s">
        <v>19</v>
      </c>
      <c r="AG1" t="s">
        <v>20</v>
      </c>
      <c r="AI1" t="s">
        <v>21</v>
      </c>
      <c r="AJ1" t="s">
        <v>22</v>
      </c>
      <c r="AK1" t="s">
        <v>23</v>
      </c>
      <c r="AM1" t="s">
        <v>24</v>
      </c>
      <c r="AN1" t="s">
        <v>25</v>
      </c>
      <c r="AO1" t="s">
        <v>26</v>
      </c>
    </row>
    <row r="2" spans="1:41" x14ac:dyDescent="0.2">
      <c r="A2" s="1">
        <v>1</v>
      </c>
      <c r="B2" s="1"/>
      <c r="C2" s="1"/>
      <c r="D2" s="2"/>
      <c r="E2" s="3"/>
      <c r="F2" s="3"/>
      <c r="G2" s="3">
        <v>0.30000000000001137</v>
      </c>
      <c r="H2" s="2"/>
      <c r="I2" s="4">
        <v>16.55172413793116</v>
      </c>
      <c r="J2" s="4">
        <v>13.793103448275804</v>
      </c>
      <c r="K2" s="4">
        <v>31.310344827586075</v>
      </c>
      <c r="L2" s="4">
        <v>94.628624370620088</v>
      </c>
      <c r="M2" s="4">
        <v>5.6972191209979185E-2</v>
      </c>
      <c r="N2" s="4">
        <f t="shared" ref="N2:N34" si="0">100-(I2+K2)</f>
        <v>52.137931034482762</v>
      </c>
      <c r="O2" s="5">
        <v>10.811440677046406</v>
      </c>
      <c r="P2" s="5">
        <v>12.131416868661301</v>
      </c>
      <c r="Q2" s="5">
        <v>18.012772128231653</v>
      </c>
      <c r="R2" s="5">
        <v>23.880203216366951</v>
      </c>
      <c r="S2" s="5">
        <v>22.108611804841217</v>
      </c>
      <c r="T2" s="5">
        <v>10.774830747047861</v>
      </c>
      <c r="U2" s="5">
        <v>2.1668169780855759</v>
      </c>
      <c r="V2" s="5">
        <v>0.11390757971889785</v>
      </c>
      <c r="W2" s="5">
        <v>0</v>
      </c>
      <c r="X2" s="5">
        <v>0</v>
      </c>
      <c r="Y2" s="5">
        <v>0</v>
      </c>
      <c r="Z2" s="5">
        <v>0</v>
      </c>
      <c r="AA2" s="5"/>
      <c r="AB2" s="5">
        <v>10.272006452929</v>
      </c>
      <c r="AD2">
        <v>0.31305477300000001</v>
      </c>
      <c r="AE2">
        <v>0.28907657200000003</v>
      </c>
      <c r="AF2">
        <v>7.6594267419139381</v>
      </c>
      <c r="AG2">
        <v>6.8942228259215579</v>
      </c>
      <c r="AI2">
        <v>50.5</v>
      </c>
      <c r="AJ2">
        <v>2.87</v>
      </c>
      <c r="AK2">
        <v>14.79</v>
      </c>
      <c r="AM2" s="5">
        <v>8.1937020111827383</v>
      </c>
      <c r="AN2">
        <v>162.39499307216425</v>
      </c>
      <c r="AO2">
        <v>2.4989234711184172</v>
      </c>
    </row>
    <row r="3" spans="1:41" x14ac:dyDescent="0.2">
      <c r="A3" s="1">
        <v>2</v>
      </c>
      <c r="B3" s="1"/>
      <c r="C3" s="1"/>
      <c r="D3" s="2"/>
      <c r="E3" s="3"/>
      <c r="F3" s="3"/>
      <c r="G3" s="3">
        <v>3.14699999999999</v>
      </c>
      <c r="H3" s="2"/>
      <c r="I3" s="4">
        <v>16.216216216216107</v>
      </c>
      <c r="J3" s="4">
        <v>14.189189189189245</v>
      </c>
      <c r="K3" s="4">
        <v>32.209459459459588</v>
      </c>
      <c r="L3" s="4">
        <v>92.959156092071666</v>
      </c>
      <c r="M3" s="4">
        <v>0.10846696714900511</v>
      </c>
      <c r="N3" s="4">
        <f t="shared" si="0"/>
        <v>51.574324324324309</v>
      </c>
      <c r="O3" s="5">
        <v>11.513436460035177</v>
      </c>
      <c r="P3" s="5">
        <v>12.45170404215094</v>
      </c>
      <c r="Q3" s="5">
        <v>17.655161612715609</v>
      </c>
      <c r="R3" s="5">
        <v>23.120198923459569</v>
      </c>
      <c r="S3" s="5">
        <v>21.682603350406097</v>
      </c>
      <c r="T3" s="5">
        <v>11.062034095564691</v>
      </c>
      <c r="U3" s="5">
        <v>2.3853758923671484</v>
      </c>
      <c r="V3" s="5">
        <v>0.1294856233006384</v>
      </c>
      <c r="W3" s="5">
        <v>0</v>
      </c>
      <c r="X3" s="5">
        <v>0</v>
      </c>
      <c r="Y3" s="5">
        <v>0</v>
      </c>
      <c r="Z3" s="5">
        <v>0</v>
      </c>
      <c r="AA3" s="5"/>
      <c r="AB3" s="5">
        <v>10.159345015492899</v>
      </c>
      <c r="AD3">
        <v>0.31669277800000001</v>
      </c>
      <c r="AE3">
        <v>0.29728261774999998</v>
      </c>
      <c r="AF3">
        <v>6.1290189099291768</v>
      </c>
      <c r="AG3">
        <v>8.7237265085522644</v>
      </c>
      <c r="AI3">
        <v>51.22</v>
      </c>
      <c r="AJ3">
        <v>2.79</v>
      </c>
      <c r="AK3">
        <v>14.62</v>
      </c>
      <c r="AM3" s="5">
        <v>4.8053353201210642</v>
      </c>
      <c r="AN3">
        <v>133.60672262459929</v>
      </c>
      <c r="AO3">
        <v>1.6144407201987769</v>
      </c>
    </row>
    <row r="4" spans="1:41" x14ac:dyDescent="0.2">
      <c r="A4" s="1">
        <v>3</v>
      </c>
      <c r="B4" s="1"/>
      <c r="C4" s="1"/>
      <c r="D4" s="2"/>
      <c r="E4" s="3"/>
      <c r="F4" s="3"/>
      <c r="G4" s="3">
        <v>6.0684374999999591</v>
      </c>
      <c r="H4" s="2"/>
      <c r="I4" s="4">
        <v>15.577889447236116</v>
      </c>
      <c r="J4" s="4">
        <v>14.572864321608176</v>
      </c>
      <c r="K4" s="4">
        <v>33.080402010050562</v>
      </c>
      <c r="L4" s="4">
        <v>93.162614748651706</v>
      </c>
      <c r="M4" s="4">
        <v>8.818723636684854E-2</v>
      </c>
      <c r="N4" s="4">
        <f t="shared" si="0"/>
        <v>51.34170854271332</v>
      </c>
      <c r="O4" s="5">
        <v>11.091207159844412</v>
      </c>
      <c r="P4" s="5">
        <v>12.02510251163134</v>
      </c>
      <c r="Q4" s="5">
        <v>17.651127516856072</v>
      </c>
      <c r="R4" s="5">
        <v>23.579455717807981</v>
      </c>
      <c r="S4" s="5">
        <v>21.95854357349053</v>
      </c>
      <c r="T4" s="5">
        <v>10.77540501221652</v>
      </c>
      <c r="U4" s="5">
        <v>2.254482592718217</v>
      </c>
      <c r="V4" s="5">
        <v>0.2028693153720551</v>
      </c>
      <c r="W4" s="5">
        <v>0.31736168351237359</v>
      </c>
      <c r="X4" s="5">
        <v>0.14444491654339206</v>
      </c>
      <c r="Y4" s="5">
        <v>0</v>
      </c>
      <c r="Z4" s="5">
        <v>0</v>
      </c>
      <c r="AA4" s="5"/>
      <c r="AB4" s="5">
        <v>10.375284999320099</v>
      </c>
      <c r="AD4">
        <v>0.32575261174999998</v>
      </c>
      <c r="AE4">
        <v>0.28541553274999998</v>
      </c>
      <c r="AF4">
        <v>12.382733873813677</v>
      </c>
      <c r="AG4">
        <v>8.0103417031990016</v>
      </c>
      <c r="AI4">
        <v>49.12</v>
      </c>
      <c r="AJ4">
        <v>2.94</v>
      </c>
      <c r="AK4">
        <v>14.45</v>
      </c>
      <c r="AM4" s="5">
        <v>9.4443881751767549</v>
      </c>
      <c r="AN4">
        <v>163.41055337323903</v>
      </c>
      <c r="AO4">
        <v>0.78610751556014946</v>
      </c>
    </row>
    <row r="5" spans="1:41" x14ac:dyDescent="0.2">
      <c r="A5" s="1">
        <v>4</v>
      </c>
      <c r="B5" s="1"/>
      <c r="C5" s="1"/>
      <c r="D5" s="2"/>
      <c r="E5" s="3"/>
      <c r="F5" s="3"/>
      <c r="G5" s="3">
        <v>8.3479375000000005</v>
      </c>
      <c r="H5" s="2"/>
      <c r="I5" s="4">
        <v>15.441176470588175</v>
      </c>
      <c r="J5" s="4">
        <v>14.705882352941261</v>
      </c>
      <c r="K5" s="4">
        <v>33.382352941176663</v>
      </c>
      <c r="L5" s="4">
        <v>92.688002208100244</v>
      </c>
      <c r="M5" s="4">
        <v>0.10788553816839634</v>
      </c>
      <c r="N5" s="4">
        <f t="shared" si="0"/>
        <v>51.176470588235162</v>
      </c>
      <c r="O5" s="5">
        <v>10.032848413190678</v>
      </c>
      <c r="P5" s="5">
        <v>12.03938523569016</v>
      </c>
      <c r="Q5" s="5">
        <v>17.434255096228959</v>
      </c>
      <c r="R5" s="5">
        <v>22.940293718485378</v>
      </c>
      <c r="S5" s="5">
        <v>22.084082013015941</v>
      </c>
      <c r="T5" s="5">
        <v>11.237484961121661</v>
      </c>
      <c r="U5" s="5">
        <v>2.9592735552726541</v>
      </c>
      <c r="V5" s="5">
        <v>0.89271650909257705</v>
      </c>
      <c r="W5" s="5">
        <v>0.36488256851202922</v>
      </c>
      <c r="X5" s="5">
        <v>1.477792938354123E-2</v>
      </c>
      <c r="Y5" s="5">
        <v>0</v>
      </c>
      <c r="Z5" s="5">
        <v>0</v>
      </c>
      <c r="AA5" s="5"/>
      <c r="AB5" s="5">
        <v>10.884567542064101</v>
      </c>
      <c r="AD5">
        <v>0.31581723950000001</v>
      </c>
      <c r="AE5">
        <v>0.29838642599999998</v>
      </c>
      <c r="AF5">
        <v>5.5192723258541525</v>
      </c>
      <c r="AG5">
        <v>8.4813091018221609</v>
      </c>
      <c r="AI5">
        <v>50.07</v>
      </c>
      <c r="AJ5">
        <v>2.93</v>
      </c>
      <c r="AK5">
        <v>14.75</v>
      </c>
      <c r="AM5" s="5">
        <v>7.5137970460074834</v>
      </c>
      <c r="AN5">
        <v>129.17164469515203</v>
      </c>
      <c r="AO5">
        <v>0</v>
      </c>
    </row>
    <row r="6" spans="1:41" x14ac:dyDescent="0.2">
      <c r="A6" s="1">
        <v>5</v>
      </c>
      <c r="B6" s="1"/>
      <c r="C6" s="1"/>
      <c r="D6" s="2"/>
      <c r="E6" s="3"/>
      <c r="F6" s="3"/>
      <c r="G6" s="3">
        <v>10.848687499999983</v>
      </c>
      <c r="H6" s="2"/>
      <c r="I6" s="4">
        <v>15.384615384615538</v>
      </c>
      <c r="J6" s="4">
        <v>13.986013986013921</v>
      </c>
      <c r="K6" s="4">
        <v>31.748251748251601</v>
      </c>
      <c r="L6" s="4">
        <v>93.795974133563149</v>
      </c>
      <c r="M6" s="4">
        <v>8.5516560582878709E-2</v>
      </c>
      <c r="N6" s="4">
        <f t="shared" si="0"/>
        <v>52.86713286713286</v>
      </c>
      <c r="O6" s="5">
        <v>10.481865433216457</v>
      </c>
      <c r="P6" s="5">
        <v>12.005771689714692</v>
      </c>
      <c r="Q6" s="5">
        <v>17.897355960986811</v>
      </c>
      <c r="R6" s="5">
        <v>23.459706620776117</v>
      </c>
      <c r="S6" s="5">
        <v>21.995674026112852</v>
      </c>
      <c r="T6" s="5">
        <v>11.17200546423609</v>
      </c>
      <c r="U6" s="5">
        <v>2.616574756281719</v>
      </c>
      <c r="V6" s="5">
        <v>0.24720022838840752</v>
      </c>
      <c r="W6" s="5">
        <v>0.1185597043079409</v>
      </c>
      <c r="X6" s="5">
        <v>5.2861159787482787E-3</v>
      </c>
      <c r="Y6" s="5">
        <v>0</v>
      </c>
      <c r="Z6" s="5">
        <v>0</v>
      </c>
      <c r="AA6" s="5"/>
      <c r="AB6" s="5">
        <v>10.495230421103001</v>
      </c>
      <c r="AD6">
        <v>0.35291307249999998</v>
      </c>
      <c r="AE6">
        <v>0.326296647</v>
      </c>
      <c r="AF6">
        <v>7.5419211057986493</v>
      </c>
      <c r="AG6">
        <v>6.4066234980582797</v>
      </c>
      <c r="AI6">
        <v>49.32</v>
      </c>
      <c r="AJ6">
        <v>3.18</v>
      </c>
      <c r="AK6">
        <v>15.3</v>
      </c>
      <c r="AM6" s="5">
        <v>7.1361727703725286</v>
      </c>
      <c r="AN6">
        <v>143.71626719876477</v>
      </c>
      <c r="AO6">
        <v>2.1163367985135921</v>
      </c>
    </row>
    <row r="7" spans="1:41" x14ac:dyDescent="0.2">
      <c r="A7" s="1">
        <v>6</v>
      </c>
      <c r="B7" s="1"/>
      <c r="C7" s="1"/>
      <c r="D7" s="2"/>
      <c r="E7" s="3"/>
      <c r="F7" s="3"/>
      <c r="G7" s="3">
        <v>13.57068750000002</v>
      </c>
      <c r="H7" s="2"/>
      <c r="I7" s="4">
        <v>14.976958525345591</v>
      </c>
      <c r="J7" s="4">
        <v>12.672811059907851</v>
      </c>
      <c r="K7" s="4">
        <v>28.767281105990822</v>
      </c>
      <c r="L7" s="4">
        <v>89.153353373977723</v>
      </c>
      <c r="M7" s="4">
        <v>0.19003587033689273</v>
      </c>
      <c r="N7" s="4">
        <f t="shared" si="0"/>
        <v>56.255760368663587</v>
      </c>
      <c r="O7" s="5">
        <v>10.051588536950353</v>
      </c>
      <c r="P7" s="5">
        <v>12.455932366106529</v>
      </c>
      <c r="Q7" s="5">
        <v>18.652754923181689</v>
      </c>
      <c r="R7" s="5">
        <v>22.910417588463559</v>
      </c>
      <c r="S7" s="5">
        <v>20.855749832467872</v>
      </c>
      <c r="T7" s="5">
        <v>11.24890714599772</v>
      </c>
      <c r="U7" s="5">
        <v>2.903620663394098</v>
      </c>
      <c r="V7" s="5">
        <v>0.62185830062383962</v>
      </c>
      <c r="W7" s="5">
        <v>0.28496471829707526</v>
      </c>
      <c r="X7" s="5">
        <v>1.4205924511372736E-2</v>
      </c>
      <c r="Y7" s="5">
        <v>0</v>
      </c>
      <c r="Z7" s="5">
        <v>0</v>
      </c>
      <c r="AA7" s="5"/>
      <c r="AB7" s="5">
        <v>10.252760212421499</v>
      </c>
      <c r="AD7">
        <v>0.329129114</v>
      </c>
      <c r="AE7">
        <v>0.30885911475</v>
      </c>
      <c r="AF7">
        <v>6.1586770625220364</v>
      </c>
      <c r="AG7">
        <v>6.4551803588169276</v>
      </c>
      <c r="AI7">
        <v>50.93</v>
      </c>
      <c r="AJ7">
        <v>3.35</v>
      </c>
      <c r="AK7">
        <v>15.75</v>
      </c>
      <c r="AM7" s="5">
        <v>4.969776435391756</v>
      </c>
      <c r="AN7">
        <v>94.59600191757049</v>
      </c>
      <c r="AO7">
        <v>0</v>
      </c>
    </row>
    <row r="8" spans="1:41" x14ac:dyDescent="0.2">
      <c r="A8" s="1">
        <v>7</v>
      </c>
      <c r="B8" s="1"/>
      <c r="C8" s="1"/>
      <c r="D8" s="2"/>
      <c r="E8" s="3"/>
      <c r="F8" s="3"/>
      <c r="G8" s="3">
        <v>16.513937499999997</v>
      </c>
      <c r="H8" s="2"/>
      <c r="I8" s="4">
        <v>14.317673378076073</v>
      </c>
      <c r="J8" s="4">
        <v>11.185682326621922</v>
      </c>
      <c r="K8" s="4">
        <v>25.391498881431765</v>
      </c>
      <c r="L8" s="4">
        <v>89.473710002514167</v>
      </c>
      <c r="M8" s="4">
        <v>0.14649091530690736</v>
      </c>
      <c r="N8" s="4">
        <f t="shared" si="0"/>
        <v>60.290827740492162</v>
      </c>
      <c r="O8" s="5">
        <v>10.718655756824266</v>
      </c>
      <c r="P8" s="5">
        <v>11.161490156605621</v>
      </c>
      <c r="Q8" s="5">
        <v>16.89051424867683</v>
      </c>
      <c r="R8" s="5">
        <v>23.100377016823053</v>
      </c>
      <c r="S8" s="5">
        <v>22.431141770650079</v>
      </c>
      <c r="T8" s="5">
        <v>12.574377206086879</v>
      </c>
      <c r="U8" s="5">
        <v>2.861498123405684</v>
      </c>
      <c r="V8" s="5">
        <v>0.18685968406521125</v>
      </c>
      <c r="W8" s="5">
        <v>6.1923608443009752E-2</v>
      </c>
      <c r="X8" s="5">
        <v>1.3162428412897447E-2</v>
      </c>
      <c r="Y8" s="5">
        <v>0</v>
      </c>
      <c r="Z8" s="5">
        <v>0</v>
      </c>
      <c r="AA8" s="5"/>
      <c r="AB8" s="5">
        <v>11.0767083765991</v>
      </c>
      <c r="AD8">
        <v>0.33056002600000001</v>
      </c>
      <c r="AE8">
        <v>0.31183398925</v>
      </c>
      <c r="AF8">
        <v>5.6649429081300982</v>
      </c>
      <c r="AG8">
        <v>6.608704074631075</v>
      </c>
      <c r="AI8">
        <v>51.68</v>
      </c>
      <c r="AJ8">
        <v>3.12</v>
      </c>
      <c r="AK8">
        <v>15.17</v>
      </c>
      <c r="AM8" s="5">
        <v>9.9507416520973795</v>
      </c>
      <c r="AN8">
        <v>99.285210904053827</v>
      </c>
      <c r="AO8">
        <v>1.4775460721767273</v>
      </c>
    </row>
    <row r="9" spans="1:41" x14ac:dyDescent="0.2">
      <c r="A9" s="1">
        <v>8</v>
      </c>
      <c r="B9" s="1"/>
      <c r="C9" s="1"/>
      <c r="D9" s="2"/>
      <c r="E9" s="3"/>
      <c r="F9" s="3"/>
      <c r="G9" s="3">
        <v>19.67843750000003</v>
      </c>
      <c r="H9" s="2"/>
      <c r="I9" s="4">
        <v>12.800000000000011</v>
      </c>
      <c r="J9" s="4">
        <v>8.2000000000000028</v>
      </c>
      <c r="K9" s="4">
        <v>18.614000000000008</v>
      </c>
      <c r="L9" s="4">
        <v>88.63581164468583</v>
      </c>
      <c r="M9" s="4">
        <v>0.1667859859164747</v>
      </c>
      <c r="N9" s="4">
        <f t="shared" si="0"/>
        <v>68.585999999999984</v>
      </c>
      <c r="O9" s="5">
        <v>10.618879285972305</v>
      </c>
      <c r="P9" s="5">
        <v>10.884163861238608</v>
      </c>
      <c r="Q9" s="5">
        <v>16.539626694881459</v>
      </c>
      <c r="R9" s="5">
        <v>23.182201684393462</v>
      </c>
      <c r="S9" s="5">
        <v>23.264372291141257</v>
      </c>
      <c r="T9" s="5">
        <v>12.79507588718187</v>
      </c>
      <c r="U9" s="5">
        <v>2.6208789858475763</v>
      </c>
      <c r="V9" s="5">
        <v>9.4801309343267706E-2</v>
      </c>
      <c r="W9" s="5">
        <v>0</v>
      </c>
      <c r="X9" s="5">
        <v>0</v>
      </c>
      <c r="Y9" s="5">
        <v>0</v>
      </c>
      <c r="Z9" s="5">
        <v>0</v>
      </c>
      <c r="AA9" s="5"/>
      <c r="AB9" s="5">
        <v>11.3413736562654</v>
      </c>
      <c r="AD9">
        <v>0.39455581149999996</v>
      </c>
      <c r="AE9">
        <v>0.36298151324999994</v>
      </c>
      <c r="AF9">
        <v>8.0024922532410923</v>
      </c>
      <c r="AG9">
        <v>6.7133678509138148</v>
      </c>
      <c r="AI9">
        <v>47.28</v>
      </c>
      <c r="AJ9">
        <v>2.91</v>
      </c>
      <c r="AK9">
        <v>13.49</v>
      </c>
      <c r="AM9" s="5">
        <v>11.53837614331705</v>
      </c>
      <c r="AN9">
        <v>111.42881678008442</v>
      </c>
      <c r="AO9">
        <v>1.9150520154555122</v>
      </c>
    </row>
    <row r="10" spans="1:41" x14ac:dyDescent="0.2">
      <c r="A10" s="1">
        <v>9</v>
      </c>
      <c r="B10" s="1"/>
      <c r="C10" s="1"/>
      <c r="D10" s="2"/>
      <c r="E10" s="3"/>
      <c r="F10" s="3"/>
      <c r="G10" s="3">
        <v>23.064187500000003</v>
      </c>
      <c r="H10" s="2"/>
      <c r="I10" s="4">
        <v>12.525252525252482</v>
      </c>
      <c r="J10" s="4">
        <v>7.4747474747474989</v>
      </c>
      <c r="K10" s="4">
        <v>16.967676767676824</v>
      </c>
      <c r="L10" s="4">
        <v>83.338676272263541</v>
      </c>
      <c r="M10" s="4">
        <v>0.22996874408301116</v>
      </c>
      <c r="N10" s="4">
        <f t="shared" si="0"/>
        <v>70.507070707070696</v>
      </c>
      <c r="O10" s="5">
        <v>11.083486302669066</v>
      </c>
      <c r="P10" s="5">
        <v>11.1389643902092</v>
      </c>
      <c r="Q10" s="5">
        <v>16.486594547228901</v>
      </c>
      <c r="R10" s="5">
        <v>22.884758950200158</v>
      </c>
      <c r="S10" s="5">
        <v>23.102725518392198</v>
      </c>
      <c r="T10" s="5">
        <v>12.66790243411371</v>
      </c>
      <c r="U10" s="5">
        <v>2.5510751175857189</v>
      </c>
      <c r="V10" s="5">
        <v>8.449273960090406E-2</v>
      </c>
      <c r="W10" s="5">
        <v>0</v>
      </c>
      <c r="X10" s="5">
        <v>0</v>
      </c>
      <c r="Y10" s="5">
        <v>0</v>
      </c>
      <c r="Z10" s="5">
        <v>0</v>
      </c>
      <c r="AA10" s="5"/>
      <c r="AB10" s="5">
        <v>11.1734062570736</v>
      </c>
      <c r="AD10">
        <v>0.36879090749999999</v>
      </c>
      <c r="AE10">
        <v>0.34492029499999999</v>
      </c>
      <c r="AF10">
        <v>6.4726683913702505</v>
      </c>
      <c r="AG10">
        <v>5.5416074584643953</v>
      </c>
      <c r="AI10">
        <v>46</v>
      </c>
      <c r="AJ10">
        <v>3.15</v>
      </c>
      <c r="AK10">
        <v>13.7</v>
      </c>
      <c r="AM10" s="5">
        <v>14.778767887277867</v>
      </c>
      <c r="AN10">
        <v>86.589689330818729</v>
      </c>
      <c r="AO10">
        <v>0</v>
      </c>
    </row>
    <row r="11" spans="1:41" x14ac:dyDescent="0.2">
      <c r="A11" s="1">
        <v>10</v>
      </c>
      <c r="B11" s="1"/>
      <c r="C11" s="1"/>
      <c r="D11" s="2"/>
      <c r="E11" s="3"/>
      <c r="F11" s="3"/>
      <c r="G11" s="3">
        <v>26.671187499999974</v>
      </c>
      <c r="H11" s="2"/>
      <c r="I11" s="4">
        <v>11.858407079645989</v>
      </c>
      <c r="J11" s="4">
        <v>6.0176991150442474</v>
      </c>
      <c r="K11" s="4">
        <v>13.660176991150442</v>
      </c>
      <c r="L11" s="4">
        <v>83.86186906546726</v>
      </c>
      <c r="M11" s="4">
        <v>0.23678140059761452</v>
      </c>
      <c r="N11" s="4">
        <f t="shared" si="0"/>
        <v>74.481415929203564</v>
      </c>
      <c r="O11" s="5">
        <v>11.678527057126566</v>
      </c>
      <c r="P11" s="5">
        <v>10.81552460271122</v>
      </c>
      <c r="Q11" s="5">
        <v>16.062254106787702</v>
      </c>
      <c r="R11" s="5">
        <v>22.936848003304821</v>
      </c>
      <c r="S11" s="5">
        <v>23.701460024420431</v>
      </c>
      <c r="T11" s="5">
        <v>12.64943353073577</v>
      </c>
      <c r="U11" s="5">
        <v>2.1521904569233765</v>
      </c>
      <c r="V11" s="5">
        <v>3.7622179899443587E-3</v>
      </c>
      <c r="W11" s="5">
        <v>0</v>
      </c>
      <c r="X11" s="5">
        <v>0</v>
      </c>
      <c r="Y11" s="5">
        <v>0</v>
      </c>
      <c r="Z11" s="5">
        <v>0</v>
      </c>
      <c r="AA11" s="5"/>
      <c r="AB11" s="5">
        <v>11.250999305462701</v>
      </c>
      <c r="AD11">
        <v>0.31498960525000003</v>
      </c>
      <c r="AE11">
        <v>0.30821839424999997</v>
      </c>
      <c r="AF11">
        <v>2.1496617307818457</v>
      </c>
      <c r="AG11">
        <v>4.3888616738798758</v>
      </c>
      <c r="AI11">
        <v>46.66</v>
      </c>
      <c r="AJ11">
        <v>2.98</v>
      </c>
      <c r="AK11">
        <v>13.31</v>
      </c>
      <c r="AM11" s="5">
        <v>16.931439213228554</v>
      </c>
      <c r="AN11">
        <v>42.996411358375838</v>
      </c>
      <c r="AO11">
        <v>1.7244447675232779</v>
      </c>
    </row>
    <row r="12" spans="1:41" x14ac:dyDescent="0.2">
      <c r="A12" s="1">
        <v>11</v>
      </c>
      <c r="B12" s="1"/>
      <c r="C12" s="1"/>
      <c r="D12" s="2"/>
      <c r="E12" s="3"/>
      <c r="F12" s="3"/>
      <c r="G12" s="3">
        <v>30.906600000000026</v>
      </c>
      <c r="H12" s="2"/>
      <c r="I12" s="4">
        <v>11.84210526315788</v>
      </c>
      <c r="J12" s="4">
        <v>4.8872180451127454</v>
      </c>
      <c r="K12" s="4">
        <v>11.093984962405932</v>
      </c>
      <c r="L12" s="4">
        <v>86.155942114396609</v>
      </c>
      <c r="M12" s="4">
        <v>0.26257050644989638</v>
      </c>
      <c r="N12" s="4">
        <f t="shared" si="0"/>
        <v>77.063909774436183</v>
      </c>
      <c r="O12" s="5">
        <v>11.448871666737915</v>
      </c>
      <c r="P12" s="5">
        <v>12.267963208467728</v>
      </c>
      <c r="Q12" s="5">
        <v>17.722205295797679</v>
      </c>
      <c r="R12" s="5">
        <v>23.094171000630698</v>
      </c>
      <c r="S12" s="5">
        <v>22.409343005258194</v>
      </c>
      <c r="T12" s="5">
        <v>11.282154205475601</v>
      </c>
      <c r="U12" s="5">
        <v>1.7750787906717265</v>
      </c>
      <c r="V12" s="5">
        <v>2.1282696030766601E-4</v>
      </c>
      <c r="W12" s="5">
        <v>0</v>
      </c>
      <c r="X12" s="5">
        <v>0</v>
      </c>
      <c r="Y12" s="5">
        <v>0</v>
      </c>
      <c r="Z12" s="5">
        <v>0</v>
      </c>
      <c r="AA12" s="5"/>
      <c r="AB12" s="5">
        <v>10.2183739401368</v>
      </c>
      <c r="AD12">
        <v>0.31292754950000001</v>
      </c>
      <c r="AE12">
        <v>0.298707324</v>
      </c>
      <c r="AF12">
        <v>4.5442548994875303</v>
      </c>
      <c r="AG12">
        <v>3.3864601134448793</v>
      </c>
      <c r="AI12">
        <v>47.54</v>
      </c>
      <c r="AJ12">
        <v>2.96</v>
      </c>
      <c r="AK12">
        <v>13.29</v>
      </c>
      <c r="AM12" s="5">
        <v>18.006123170461066</v>
      </c>
      <c r="AN12">
        <v>52.81790709877901</v>
      </c>
      <c r="AO12">
        <v>3.795306173307631</v>
      </c>
    </row>
    <row r="13" spans="1:41" x14ac:dyDescent="0.2">
      <c r="A13" s="1">
        <v>12</v>
      </c>
      <c r="B13" s="1"/>
      <c r="C13" s="1"/>
      <c r="D13" s="2"/>
      <c r="E13" s="3"/>
      <c r="F13" s="3"/>
      <c r="G13" s="3">
        <v>34.956099999999992</v>
      </c>
      <c r="H13" s="2"/>
      <c r="I13" s="4">
        <v>11.311475409836085</v>
      </c>
      <c r="J13" s="4">
        <v>4.2622950819672383</v>
      </c>
      <c r="K13" s="4">
        <v>9.6754098360656311</v>
      </c>
      <c r="L13" s="4">
        <v>82.668744557390255</v>
      </c>
      <c r="M13" s="4">
        <v>0.25450391991045762</v>
      </c>
      <c r="N13" s="4">
        <f t="shared" si="0"/>
        <v>79.013114754098282</v>
      </c>
      <c r="O13" s="5">
        <v>10.999942374236523</v>
      </c>
      <c r="P13" s="5">
        <v>10.83352238172597</v>
      </c>
      <c r="Q13" s="5">
        <v>16.766931975287118</v>
      </c>
      <c r="R13" s="5">
        <v>23.764322064302672</v>
      </c>
      <c r="S13" s="5">
        <v>23.754793059150177</v>
      </c>
      <c r="T13" s="5">
        <v>11.827310417704108</v>
      </c>
      <c r="U13" s="5">
        <v>1.9757322308883951</v>
      </c>
      <c r="V13" s="5">
        <v>7.7445496704853914E-2</v>
      </c>
      <c r="W13" s="5">
        <v>0</v>
      </c>
      <c r="X13" s="5">
        <v>0</v>
      </c>
      <c r="Y13" s="5">
        <v>0</v>
      </c>
      <c r="Z13" s="5">
        <v>0</v>
      </c>
      <c r="AA13" s="5"/>
      <c r="AB13" s="5">
        <v>11.088641201402099</v>
      </c>
      <c r="AD13">
        <v>0.29937134300000001</v>
      </c>
      <c r="AE13">
        <v>0.28899673775000001</v>
      </c>
      <c r="AF13">
        <v>3.4654637100652619</v>
      </c>
      <c r="AG13">
        <v>3.7205269960070182</v>
      </c>
      <c r="AI13">
        <v>45.94</v>
      </c>
      <c r="AJ13">
        <v>3.03</v>
      </c>
      <c r="AK13">
        <v>13.06</v>
      </c>
      <c r="AM13" s="5">
        <v>19.256525100468576</v>
      </c>
      <c r="AN13">
        <v>46.694693473378564</v>
      </c>
      <c r="AO13">
        <v>4.3675527813808017</v>
      </c>
    </row>
    <row r="14" spans="1:41" x14ac:dyDescent="0.2">
      <c r="A14" s="1">
        <v>13</v>
      </c>
      <c r="B14" s="1"/>
      <c r="C14" s="1"/>
      <c r="D14" s="2"/>
      <c r="E14" s="3"/>
      <c r="F14" s="3"/>
      <c r="G14" s="3">
        <v>38.819687499999986</v>
      </c>
      <c r="H14" s="2"/>
      <c r="I14" s="4">
        <v>10.862619808306704</v>
      </c>
      <c r="J14" s="4">
        <v>3.6741214057508054</v>
      </c>
      <c r="K14" s="4">
        <v>8.3402555910543281</v>
      </c>
      <c r="L14" s="4">
        <v>83.5454270687692</v>
      </c>
      <c r="M14" s="4">
        <v>0.23927861095186143</v>
      </c>
      <c r="N14" s="4">
        <f t="shared" si="0"/>
        <v>80.797124600638966</v>
      </c>
      <c r="O14" s="5">
        <v>11.307942490050561</v>
      </c>
      <c r="P14" s="5">
        <v>12.013784592638629</v>
      </c>
      <c r="Q14" s="5">
        <v>17.279665225764649</v>
      </c>
      <c r="R14" s="5">
        <v>23.243690286416808</v>
      </c>
      <c r="S14" s="5">
        <v>23.176423785433514</v>
      </c>
      <c r="T14" s="5">
        <v>11.320565109575051</v>
      </c>
      <c r="U14" s="5">
        <v>1.6577385941645821</v>
      </c>
      <c r="V14" s="5">
        <v>1.8991595602813001E-4</v>
      </c>
      <c r="W14" s="5">
        <v>0</v>
      </c>
      <c r="X14" s="5">
        <v>0</v>
      </c>
      <c r="Y14" s="5">
        <v>0</v>
      </c>
      <c r="Z14" s="5">
        <v>0</v>
      </c>
      <c r="AA14" s="5"/>
      <c r="AB14" s="5">
        <v>10.5064970089584</v>
      </c>
      <c r="AD14">
        <v>0.28581385124999997</v>
      </c>
      <c r="AE14">
        <v>0.27680539199999998</v>
      </c>
      <c r="AF14">
        <v>3.151862378468262</v>
      </c>
      <c r="AG14">
        <v>3.3283329713706711</v>
      </c>
      <c r="AI14">
        <v>44.61</v>
      </c>
      <c r="AJ14">
        <v>3.18</v>
      </c>
      <c r="AK14">
        <v>12.96</v>
      </c>
      <c r="AM14" s="5">
        <v>12.473615042026152</v>
      </c>
      <c r="AN14">
        <v>45.87317139193884</v>
      </c>
      <c r="AO14">
        <v>3.3783508722108042</v>
      </c>
    </row>
    <row r="15" spans="1:41" x14ac:dyDescent="0.2">
      <c r="A15" s="1">
        <v>14</v>
      </c>
      <c r="B15" s="1"/>
      <c r="C15" s="1"/>
      <c r="D15" s="2"/>
      <c r="E15" s="3"/>
      <c r="F15" s="3"/>
      <c r="G15" s="3">
        <v>43.311687500000005</v>
      </c>
      <c r="H15" s="2"/>
      <c r="I15" s="4">
        <v>10.192023633677959</v>
      </c>
      <c r="J15" s="4">
        <v>3.3973412112260037</v>
      </c>
      <c r="K15" s="4">
        <v>7.7119645494830289</v>
      </c>
      <c r="L15" s="4">
        <v>81.897927797064739</v>
      </c>
      <c r="M15" s="4">
        <v>0.32180546852479336</v>
      </c>
      <c r="N15" s="4">
        <f t="shared" si="0"/>
        <v>82.09601181683901</v>
      </c>
      <c r="O15" s="5">
        <v>11.231855559472447</v>
      </c>
      <c r="P15" s="5">
        <v>12.33218007405338</v>
      </c>
      <c r="Q15" s="5">
        <v>17.911132723403327</v>
      </c>
      <c r="R15" s="5">
        <v>23.582386957426483</v>
      </c>
      <c r="S15" s="5">
        <v>22.775244775801422</v>
      </c>
      <c r="T15" s="5">
        <v>10.647382487475399</v>
      </c>
      <c r="U15" s="5">
        <v>1.5196348566625335</v>
      </c>
      <c r="V15" s="5">
        <v>1.8256570483288201E-4</v>
      </c>
      <c r="W15" s="5">
        <v>0</v>
      </c>
      <c r="X15" s="5">
        <v>0</v>
      </c>
      <c r="Y15" s="5">
        <v>0</v>
      </c>
      <c r="Z15" s="5">
        <v>0</v>
      </c>
      <c r="AA15" s="5"/>
      <c r="AB15" s="5">
        <v>10.174056194839901</v>
      </c>
      <c r="AD15">
        <v>0.28369575950000003</v>
      </c>
      <c r="AE15">
        <v>0.27414181450000003</v>
      </c>
      <c r="AF15">
        <v>3.3676728255784898</v>
      </c>
      <c r="AG15">
        <v>2.9524158086514589</v>
      </c>
      <c r="AI15">
        <v>45.96</v>
      </c>
      <c r="AJ15">
        <v>3.15</v>
      </c>
      <c r="AK15">
        <v>13.27</v>
      </c>
      <c r="AM15" s="5">
        <v>11.614478440150913</v>
      </c>
      <c r="AN15">
        <v>44.826186385185188</v>
      </c>
      <c r="AO15">
        <v>7.0100495282754851</v>
      </c>
    </row>
    <row r="16" spans="1:41" x14ac:dyDescent="0.2">
      <c r="A16" s="1">
        <v>15</v>
      </c>
      <c r="B16" s="1"/>
      <c r="C16" s="1"/>
      <c r="D16" s="2"/>
      <c r="E16" s="3"/>
      <c r="F16" s="3"/>
      <c r="G16" s="3">
        <v>48.024937499999965</v>
      </c>
      <c r="H16" s="2"/>
      <c r="I16" s="4">
        <v>9.8011363636363793</v>
      </c>
      <c r="J16" s="4">
        <v>2.8409090909090806</v>
      </c>
      <c r="K16" s="4">
        <v>6.4488636363636127</v>
      </c>
      <c r="L16" s="4">
        <v>82.544263807926839</v>
      </c>
      <c r="M16" s="4">
        <v>0.32040138969010945</v>
      </c>
      <c r="N16" s="4">
        <f t="shared" si="0"/>
        <v>83.75</v>
      </c>
      <c r="O16" s="5">
        <v>10.887973285709158</v>
      </c>
      <c r="P16" s="5">
        <v>12.674289283236989</v>
      </c>
      <c r="Q16" s="5">
        <v>18.964100381426562</v>
      </c>
      <c r="R16" s="5">
        <v>23.869718423201761</v>
      </c>
      <c r="S16" s="5">
        <v>22.033959252401221</v>
      </c>
      <c r="T16" s="5">
        <v>10.046246139923221</v>
      </c>
      <c r="U16" s="5">
        <v>1.5195695699633789</v>
      </c>
      <c r="V16" s="5">
        <v>4.1436641375156473E-3</v>
      </c>
      <c r="W16" s="5">
        <v>0</v>
      </c>
      <c r="X16" s="5">
        <v>0</v>
      </c>
      <c r="Y16" s="5">
        <v>0</v>
      </c>
      <c r="Z16" s="5">
        <v>0</v>
      </c>
      <c r="AA16" s="5"/>
      <c r="AB16" s="5">
        <v>9.7881928824137105</v>
      </c>
      <c r="AD16">
        <v>0.26888613325000005</v>
      </c>
      <c r="AE16">
        <v>0.26260034924999998</v>
      </c>
      <c r="AF16">
        <v>2.3377122219076245</v>
      </c>
      <c r="AG16">
        <v>2.6800528575162019</v>
      </c>
      <c r="AI16">
        <v>46.54</v>
      </c>
      <c r="AJ16">
        <v>3.17</v>
      </c>
      <c r="AK16">
        <v>13.37</v>
      </c>
      <c r="AM16" s="5">
        <v>9.0505438656199004</v>
      </c>
      <c r="AN16">
        <v>39.334697843356487</v>
      </c>
      <c r="AO16">
        <v>9.0677915141498069</v>
      </c>
    </row>
    <row r="17" spans="1:41" x14ac:dyDescent="0.2">
      <c r="A17" s="1">
        <v>16</v>
      </c>
      <c r="B17" s="1"/>
      <c r="C17" s="1"/>
      <c r="D17" s="2"/>
      <c r="E17" s="3"/>
      <c r="F17" s="3"/>
      <c r="G17" s="3">
        <v>52.959437499999979</v>
      </c>
      <c r="H17" s="2"/>
      <c r="I17" s="4">
        <v>9.2827004219409286</v>
      </c>
      <c r="J17" s="4">
        <v>2.1097046413501905</v>
      </c>
      <c r="K17" s="4">
        <v>4.7890295358649322</v>
      </c>
      <c r="L17" s="4">
        <v>79.637316710975185</v>
      </c>
      <c r="M17" s="4">
        <v>0.38232118293366552</v>
      </c>
      <c r="N17" s="4">
        <f t="shared" si="0"/>
        <v>85.928270042194143</v>
      </c>
      <c r="O17" s="5">
        <v>10.695091953549035</v>
      </c>
      <c r="P17" s="5">
        <v>13.12663678237702</v>
      </c>
      <c r="Q17" s="5">
        <v>20.033982315271068</v>
      </c>
      <c r="R17" s="5">
        <v>24.421882347946941</v>
      </c>
      <c r="S17" s="5">
        <v>21.182386043831908</v>
      </c>
      <c r="T17" s="5">
        <v>9.0129465489204765</v>
      </c>
      <c r="U17" s="5">
        <v>1.4421871619336719</v>
      </c>
      <c r="V17" s="5">
        <v>8.4886846169709346E-2</v>
      </c>
      <c r="W17" s="5">
        <v>0</v>
      </c>
      <c r="X17" s="5">
        <v>0</v>
      </c>
      <c r="Y17" s="5">
        <v>0</v>
      </c>
      <c r="Z17" s="5">
        <v>0</v>
      </c>
      <c r="AA17" s="5"/>
      <c r="AB17" s="5">
        <v>9.3329496707777793</v>
      </c>
      <c r="AD17">
        <v>0.26472349174999998</v>
      </c>
      <c r="AE17">
        <v>0.25854279775</v>
      </c>
      <c r="AF17">
        <v>2.3347735250624906</v>
      </c>
      <c r="AG17">
        <v>2.0571587791129384</v>
      </c>
      <c r="AI17">
        <v>45.36</v>
      </c>
      <c r="AJ17">
        <v>3.82</v>
      </c>
      <c r="AK17">
        <v>14.52</v>
      </c>
      <c r="AM17" s="5">
        <v>4.392769369834169</v>
      </c>
      <c r="AN17">
        <v>32.826267403636983</v>
      </c>
      <c r="AO17">
        <v>12.29497948622064</v>
      </c>
    </row>
    <row r="18" spans="1:41" x14ac:dyDescent="0.2">
      <c r="A18" s="1">
        <v>17</v>
      </c>
      <c r="B18" s="1"/>
      <c r="C18" s="1"/>
      <c r="D18" s="2"/>
      <c r="E18" s="3"/>
      <c r="F18" s="3"/>
      <c r="G18" s="3">
        <v>58.11518749999999</v>
      </c>
      <c r="H18" s="2"/>
      <c r="I18" s="4">
        <v>8.5677749360614026</v>
      </c>
      <c r="J18" s="4">
        <v>1.9181585677749178</v>
      </c>
      <c r="K18" s="4">
        <v>4.3542199488490638</v>
      </c>
      <c r="L18" s="4">
        <v>75.896924781452654</v>
      </c>
      <c r="M18" s="4">
        <v>0.51063569242983542</v>
      </c>
      <c r="N18" s="4">
        <f t="shared" si="0"/>
        <v>87.078005115089539</v>
      </c>
      <c r="O18" s="5">
        <v>11.486122087552232</v>
      </c>
      <c r="P18" s="5">
        <v>13.26836255631272</v>
      </c>
      <c r="Q18" s="5">
        <v>19.62865726102649</v>
      </c>
      <c r="R18" s="5">
        <v>24.894193137282457</v>
      </c>
      <c r="S18" s="5">
        <v>21.673467219297279</v>
      </c>
      <c r="T18" s="5">
        <v>8.2316072590686726</v>
      </c>
      <c r="U18" s="5">
        <v>0.8175904794600225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/>
      <c r="AB18" s="5">
        <v>9.1933237644116002</v>
      </c>
      <c r="AD18">
        <v>0.24963292125000003</v>
      </c>
      <c r="AE18">
        <v>0.24589094725000002</v>
      </c>
      <c r="AF18">
        <v>1.4989905903687006</v>
      </c>
      <c r="AG18">
        <v>1.8584682915736608</v>
      </c>
      <c r="AI18">
        <v>49.18</v>
      </c>
      <c r="AJ18">
        <v>3.62</v>
      </c>
      <c r="AK18">
        <v>14.58</v>
      </c>
      <c r="AM18" s="5">
        <v>4.7269322162647036</v>
      </c>
      <c r="AN18">
        <v>34.495661038169935</v>
      </c>
      <c r="AO18">
        <v>49.581408572776503</v>
      </c>
    </row>
    <row r="19" spans="1:41" x14ac:dyDescent="0.2">
      <c r="A19" s="1">
        <v>18</v>
      </c>
      <c r="B19" s="1"/>
      <c r="C19" s="1"/>
      <c r="D19" s="2"/>
      <c r="E19" s="3"/>
      <c r="F19" s="3"/>
      <c r="G19" s="3">
        <v>63.4921875</v>
      </c>
      <c r="H19" s="2"/>
      <c r="I19" s="4">
        <v>8.2666666666666355</v>
      </c>
      <c r="J19" s="4">
        <v>2.0000000000000289</v>
      </c>
      <c r="K19" s="4">
        <v>4.5400000000000658</v>
      </c>
      <c r="L19" s="4">
        <v>79.424675486190111</v>
      </c>
      <c r="M19" s="4">
        <v>0.26440336498249495</v>
      </c>
      <c r="N19" s="4">
        <f t="shared" si="0"/>
        <v>87.1933333333333</v>
      </c>
      <c r="O19" s="5">
        <v>11.213432808587182</v>
      </c>
      <c r="P19" s="5">
        <v>11.767197513427499</v>
      </c>
      <c r="Q19" s="5">
        <v>18.134836222115869</v>
      </c>
      <c r="R19" s="5">
        <v>25.789464874817099</v>
      </c>
      <c r="S19" s="5">
        <v>23.151438500321451</v>
      </c>
      <c r="T19" s="5">
        <v>8.8987071924664924</v>
      </c>
      <c r="U19" s="5">
        <v>1.0447927815457505</v>
      </c>
      <c r="V19" s="5">
        <v>1.3010671850111001E-4</v>
      </c>
      <c r="W19" s="5">
        <v>0</v>
      </c>
      <c r="X19" s="5">
        <v>0</v>
      </c>
      <c r="Y19" s="5">
        <v>0</v>
      </c>
      <c r="Z19" s="5">
        <v>0</v>
      </c>
      <c r="AA19" s="5"/>
      <c r="AB19" s="5">
        <v>10.0713846333978</v>
      </c>
      <c r="AD19">
        <v>0.25465623300000001</v>
      </c>
      <c r="AE19">
        <v>0.25022103625000003</v>
      </c>
      <c r="AF19">
        <v>1.7416407592897916</v>
      </c>
      <c r="AG19">
        <v>1.6957284404606856</v>
      </c>
      <c r="AI19">
        <v>47.43</v>
      </c>
      <c r="AJ19">
        <v>3.81</v>
      </c>
      <c r="AK19">
        <v>14.68</v>
      </c>
      <c r="AM19" s="5">
        <v>0</v>
      </c>
      <c r="AN19">
        <v>44.742548857658413</v>
      </c>
      <c r="AO19">
        <v>7.2344952170964767</v>
      </c>
    </row>
    <row r="20" spans="1:41" x14ac:dyDescent="0.2">
      <c r="A20" s="1">
        <v>19</v>
      </c>
      <c r="B20" s="1"/>
      <c r="C20" s="1"/>
      <c r="D20" s="2"/>
      <c r="E20" s="3"/>
      <c r="F20" s="3"/>
      <c r="G20" s="3">
        <v>69.090437500000007</v>
      </c>
      <c r="H20" s="2"/>
      <c r="I20" s="4">
        <v>8.0901856763925668</v>
      </c>
      <c r="J20" s="4">
        <v>1.8567639257294506</v>
      </c>
      <c r="K20" s="4">
        <v>4.2148541114058533</v>
      </c>
      <c r="L20" s="4">
        <v>80.528861004602874</v>
      </c>
      <c r="M20" s="4">
        <v>0.28320773608905381</v>
      </c>
      <c r="N20" s="4">
        <f t="shared" si="0"/>
        <v>87.694960212201579</v>
      </c>
      <c r="O20" s="5">
        <v>11.700641036910863</v>
      </c>
      <c r="P20" s="5">
        <v>11.863100444488488</v>
      </c>
      <c r="Q20" s="5">
        <v>18.524805568165899</v>
      </c>
      <c r="R20" s="5">
        <v>26.343070320767541</v>
      </c>
      <c r="S20" s="5">
        <v>22.637871857868859</v>
      </c>
      <c r="T20" s="5">
        <v>8.1131560978850494</v>
      </c>
      <c r="U20" s="5">
        <v>0.8173365523249444</v>
      </c>
      <c r="V20" s="5">
        <v>1.8121588198027799E-5</v>
      </c>
      <c r="W20" s="5">
        <v>0</v>
      </c>
      <c r="X20" s="5">
        <v>0</v>
      </c>
      <c r="Y20" s="5">
        <v>0</v>
      </c>
      <c r="Z20" s="5">
        <v>0</v>
      </c>
      <c r="AA20" s="5"/>
      <c r="AB20" s="5">
        <v>9.7458669866855292</v>
      </c>
      <c r="AD20">
        <v>0.25026912675000001</v>
      </c>
      <c r="AE20">
        <v>0.24564777225000001</v>
      </c>
      <c r="AF20">
        <v>1.8465539717235648</v>
      </c>
      <c r="AG20">
        <v>2.7062272926498729</v>
      </c>
      <c r="AI20">
        <v>48.32</v>
      </c>
      <c r="AJ20">
        <v>3.78</v>
      </c>
      <c r="AK20">
        <v>14.63</v>
      </c>
      <c r="AM20" s="5">
        <v>1.9886279458646603</v>
      </c>
      <c r="AN20">
        <v>36.17271389307453</v>
      </c>
      <c r="AO20">
        <v>10.6958230551067</v>
      </c>
    </row>
    <row r="21" spans="1:41" x14ac:dyDescent="0.2">
      <c r="A21" s="1">
        <v>20</v>
      </c>
      <c r="B21" s="1"/>
      <c r="C21" s="1"/>
      <c r="D21" s="2"/>
      <c r="E21" s="3"/>
      <c r="F21" s="3"/>
      <c r="G21" s="3">
        <v>76.126937499999997</v>
      </c>
      <c r="H21" s="2"/>
      <c r="I21" s="4">
        <v>8.6792452830188829</v>
      </c>
      <c r="J21" s="4">
        <v>1.6352201257861507</v>
      </c>
      <c r="K21" s="4">
        <v>3.7119496855345622</v>
      </c>
      <c r="L21" s="4">
        <v>73.669424360822575</v>
      </c>
      <c r="M21" s="4">
        <v>0.7589373569308836</v>
      </c>
      <c r="N21" s="4">
        <f t="shared" si="0"/>
        <v>87.608805031446551</v>
      </c>
      <c r="O21" s="5">
        <v>11.328232073483967</v>
      </c>
      <c r="P21" s="5">
        <v>11.24220119012311</v>
      </c>
      <c r="Q21" s="5">
        <v>18.501250852528109</v>
      </c>
      <c r="R21" s="5">
        <v>26.781334348281671</v>
      </c>
      <c r="S21" s="5">
        <v>22.769404134593291</v>
      </c>
      <c r="T21" s="5">
        <v>8.3666615380348244</v>
      </c>
      <c r="U21" s="5">
        <v>1.0107999407184547</v>
      </c>
      <c r="V21" s="5">
        <v>1.15922236417986E-4</v>
      </c>
      <c r="W21" s="5">
        <v>0</v>
      </c>
      <c r="X21" s="5">
        <v>0</v>
      </c>
      <c r="Y21" s="5">
        <v>0</v>
      </c>
      <c r="Z21" s="5">
        <v>0</v>
      </c>
      <c r="AA21" s="5"/>
      <c r="AB21" s="5">
        <v>9.9704960511971503</v>
      </c>
      <c r="AD21">
        <v>0.251263984</v>
      </c>
      <c r="AE21">
        <v>0.23988050150000001</v>
      </c>
      <c r="AF21">
        <v>4.5304871469362622</v>
      </c>
      <c r="AG21">
        <v>2.8563414906001423</v>
      </c>
      <c r="AI21">
        <v>47.98</v>
      </c>
      <c r="AJ21">
        <v>3.8</v>
      </c>
      <c r="AK21">
        <v>14.04</v>
      </c>
      <c r="AM21" s="5">
        <v>0.44847270099018838</v>
      </c>
      <c r="AN21">
        <v>27.680932102992514</v>
      </c>
      <c r="AO21">
        <v>15.0823319224309</v>
      </c>
    </row>
    <row r="22" spans="1:41" x14ac:dyDescent="0.2">
      <c r="A22" s="1">
        <v>21</v>
      </c>
      <c r="B22" s="1"/>
      <c r="C22" s="1"/>
      <c r="D22" s="2"/>
      <c r="E22" s="3"/>
      <c r="F22" s="3"/>
      <c r="G22" s="3">
        <v>82.1676875</v>
      </c>
      <c r="H22" s="2"/>
      <c r="I22" s="4">
        <v>9.8339719029374155</v>
      </c>
      <c r="J22" s="4">
        <v>1.6602809706257853</v>
      </c>
      <c r="K22" s="4">
        <v>3.7688378033205328</v>
      </c>
      <c r="L22" s="4">
        <v>78.537149071660608</v>
      </c>
      <c r="M22" s="4">
        <v>0.38717789156330928</v>
      </c>
      <c r="N22" s="4">
        <f t="shared" si="0"/>
        <v>86.397190293742057</v>
      </c>
      <c r="O22" s="5">
        <v>11.305961571442381</v>
      </c>
      <c r="P22" s="5">
        <v>12.5866873179077</v>
      </c>
      <c r="Q22" s="5">
        <v>18.950028155564361</v>
      </c>
      <c r="R22" s="5">
        <v>24.975653091479231</v>
      </c>
      <c r="S22" s="5">
        <v>21.582673852734608</v>
      </c>
      <c r="T22" s="5">
        <v>9.0238563352580101</v>
      </c>
      <c r="U22" s="5">
        <v>1.5296897773214351</v>
      </c>
      <c r="V22" s="5">
        <v>4.544989829211938E-2</v>
      </c>
      <c r="W22" s="5">
        <v>0</v>
      </c>
      <c r="X22" s="5">
        <v>0</v>
      </c>
      <c r="Y22" s="5">
        <v>0</v>
      </c>
      <c r="Z22" s="5">
        <v>0</v>
      </c>
      <c r="AA22" s="5"/>
      <c r="AB22" s="5">
        <v>9.6052450774088491</v>
      </c>
      <c r="AD22">
        <v>0.25679962224999997</v>
      </c>
      <c r="AE22">
        <v>0.25117061727935203</v>
      </c>
      <c r="AF22">
        <v>2.1919833531406003</v>
      </c>
      <c r="AG22">
        <v>3.2009316827279819</v>
      </c>
      <c r="AI22">
        <v>46.32</v>
      </c>
      <c r="AJ22">
        <v>3.28</v>
      </c>
      <c r="AK22">
        <v>12.35</v>
      </c>
      <c r="AM22" s="5">
        <v>0.85904786598215521</v>
      </c>
      <c r="AN22">
        <v>32.547408510685081</v>
      </c>
      <c r="AO22">
        <v>13.524401403136448</v>
      </c>
    </row>
    <row r="23" spans="1:41" x14ac:dyDescent="0.2">
      <c r="A23" s="1">
        <v>22</v>
      </c>
      <c r="B23" s="1"/>
      <c r="C23" s="1"/>
      <c r="D23" s="2"/>
      <c r="E23" s="3"/>
      <c r="F23" s="3"/>
      <c r="G23" s="3">
        <v>87.212687500000015</v>
      </c>
      <c r="H23" s="2"/>
      <c r="I23" s="4">
        <v>12.533692722371962</v>
      </c>
      <c r="J23" s="4">
        <v>2.1563342318059315</v>
      </c>
      <c r="K23" s="4">
        <v>4.8948787061994645</v>
      </c>
      <c r="L23" s="4">
        <v>77.43417865664955</v>
      </c>
      <c r="M23" s="4">
        <v>0.36723971429277302</v>
      </c>
      <c r="N23" s="4">
        <f t="shared" si="0"/>
        <v>82.571428571428569</v>
      </c>
      <c r="O23" s="5">
        <v>11.198275942342956</v>
      </c>
      <c r="P23" s="5">
        <v>12.07197545380153</v>
      </c>
      <c r="Q23" s="5">
        <v>17.68525949865943</v>
      </c>
      <c r="R23" s="5">
        <v>23.43286717313369</v>
      </c>
      <c r="S23" s="5">
        <v>21.999400052905639</v>
      </c>
      <c r="T23" s="5">
        <v>11.012036352027561</v>
      </c>
      <c r="U23" s="5">
        <v>2.4319591507559979</v>
      </c>
      <c r="V23" s="5">
        <v>0.16822637637308424</v>
      </c>
      <c r="W23" s="5">
        <v>0</v>
      </c>
      <c r="X23" s="5">
        <v>0</v>
      </c>
      <c r="Y23" s="5">
        <v>0</v>
      </c>
      <c r="Z23" s="5">
        <v>0</v>
      </c>
      <c r="AA23" s="5"/>
      <c r="AB23" s="5">
        <v>10.328495366327299</v>
      </c>
      <c r="AD23">
        <v>0.26410256900000001</v>
      </c>
      <c r="AE23">
        <v>0.25649555787291156</v>
      </c>
      <c r="AF23">
        <v>2.8803245481070832</v>
      </c>
      <c r="AG23">
        <v>1.7965455578380138</v>
      </c>
      <c r="AI23">
        <v>41.4</v>
      </c>
      <c r="AJ23">
        <v>2.9</v>
      </c>
      <c r="AK23">
        <v>10.73</v>
      </c>
      <c r="AM23" s="5">
        <v>0</v>
      </c>
      <c r="AN23">
        <v>35.900254830704078</v>
      </c>
      <c r="AO23">
        <v>11.297619708950453</v>
      </c>
    </row>
    <row r="24" spans="1:41" x14ac:dyDescent="0.2">
      <c r="A24" s="1">
        <v>23</v>
      </c>
      <c r="B24" s="1"/>
      <c r="C24" s="1"/>
      <c r="D24" s="2"/>
      <c r="E24" s="3"/>
      <c r="F24" s="3"/>
      <c r="G24" s="3">
        <v>93.695937500000014</v>
      </c>
      <c r="H24" s="2"/>
      <c r="I24" s="4">
        <v>17.205882352941199</v>
      </c>
      <c r="J24" s="4">
        <v>3.0882352941176592</v>
      </c>
      <c r="K24" s="4">
        <v>7.0102941176470868</v>
      </c>
      <c r="L24" s="4">
        <v>82.603776908745076</v>
      </c>
      <c r="M24" s="4">
        <v>0.21959761236398745</v>
      </c>
      <c r="N24" s="4">
        <f t="shared" si="0"/>
        <v>75.783823529411706</v>
      </c>
      <c r="O24" s="5">
        <v>12.734038324149465</v>
      </c>
      <c r="P24" s="5">
        <v>11.38723635936949</v>
      </c>
      <c r="Q24" s="5">
        <v>16.06992207481812</v>
      </c>
      <c r="R24" s="5">
        <v>21.250621385298501</v>
      </c>
      <c r="S24" s="5">
        <v>22.398208613411622</v>
      </c>
      <c r="T24" s="5">
        <v>13.377923505375881</v>
      </c>
      <c r="U24" s="5">
        <v>2.7721768392731896</v>
      </c>
      <c r="V24" s="5">
        <v>9.8728983035698513E-3</v>
      </c>
      <c r="W24" s="5">
        <v>0</v>
      </c>
      <c r="X24" s="5">
        <v>0</v>
      </c>
      <c r="Y24" s="5">
        <v>0</v>
      </c>
      <c r="Z24" s="5">
        <v>0</v>
      </c>
      <c r="AA24" s="5"/>
      <c r="AB24" s="5">
        <v>10.931602954123299</v>
      </c>
      <c r="AD24">
        <v>0.20361915850000001</v>
      </c>
      <c r="AE24">
        <v>0.20297301632423287</v>
      </c>
      <c r="AF24">
        <v>0.31732877226635786</v>
      </c>
      <c r="AG24">
        <v>-0.51828030013338455</v>
      </c>
      <c r="AI24">
        <v>33.840000000000003</v>
      </c>
      <c r="AJ24">
        <v>2.4700000000000002</v>
      </c>
      <c r="AK24">
        <v>8.86</v>
      </c>
      <c r="AM24" s="5">
        <v>0.90810878516964411</v>
      </c>
      <c r="AN24">
        <v>42.163051286233326</v>
      </c>
      <c r="AO24">
        <v>6.3070673872539365</v>
      </c>
    </row>
    <row r="25" spans="1:41" x14ac:dyDescent="0.2">
      <c r="A25" s="1">
        <v>24</v>
      </c>
      <c r="B25" s="1"/>
      <c r="C25" s="1"/>
      <c r="D25" s="2"/>
      <c r="E25" s="3"/>
      <c r="F25" s="3"/>
      <c r="G25" s="3">
        <v>100.40043750000001</v>
      </c>
      <c r="H25" s="2"/>
      <c r="I25" s="4">
        <v>20.281690140845086</v>
      </c>
      <c r="J25" s="4">
        <v>3.9436619718309509</v>
      </c>
      <c r="K25" s="4">
        <v>8.9521126760562595</v>
      </c>
      <c r="L25" s="4">
        <v>85.060160941215713</v>
      </c>
      <c r="M25" s="4">
        <v>0.20169202978687464</v>
      </c>
      <c r="N25" s="4">
        <f t="shared" si="0"/>
        <v>70.766197183098654</v>
      </c>
      <c r="O25" s="5">
        <v>13.577463374178485</v>
      </c>
      <c r="P25" s="5">
        <v>11.29281676284729</v>
      </c>
      <c r="Q25" s="5">
        <v>15.55468061363718</v>
      </c>
      <c r="R25" s="5">
        <v>18.902011911037569</v>
      </c>
      <c r="S25" s="5">
        <v>20.961203072371433</v>
      </c>
      <c r="T25" s="5">
        <v>15.70515655435231</v>
      </c>
      <c r="U25" s="5">
        <v>3.9918089936609871</v>
      </c>
      <c r="V25" s="5">
        <v>1.485871791454935E-2</v>
      </c>
      <c r="W25" s="5">
        <v>0</v>
      </c>
      <c r="X25" s="5">
        <v>0</v>
      </c>
      <c r="Y25" s="5">
        <v>0</v>
      </c>
      <c r="Z25" s="5">
        <v>0</v>
      </c>
      <c r="AA25" s="5"/>
      <c r="AB25" s="5">
        <v>11.2157287243336</v>
      </c>
      <c r="AD25">
        <v>0.11274794674999999</v>
      </c>
      <c r="AE25">
        <v>0.11810628640333463</v>
      </c>
      <c r="AF25">
        <v>-4.7524942207735945</v>
      </c>
      <c r="AG25">
        <v>-0.94158186081968853</v>
      </c>
      <c r="AI25">
        <v>32.25</v>
      </c>
      <c r="AJ25">
        <v>2.21</v>
      </c>
      <c r="AK25">
        <v>8.43</v>
      </c>
      <c r="AM25" s="5">
        <v>0</v>
      </c>
      <c r="AN25">
        <v>49.513362379306372</v>
      </c>
      <c r="AO25">
        <v>6.8074422449617931</v>
      </c>
    </row>
    <row r="26" spans="1:41" x14ac:dyDescent="0.2">
      <c r="A26" s="1">
        <v>25</v>
      </c>
      <c r="B26" s="1"/>
      <c r="C26" s="1"/>
      <c r="D26" s="2"/>
      <c r="E26" s="3"/>
      <c r="F26" s="3"/>
      <c r="G26" s="3">
        <v>107.3261875</v>
      </c>
      <c r="H26" s="2"/>
      <c r="I26" s="4">
        <v>21.855345911949691</v>
      </c>
      <c r="J26" s="4">
        <v>3.930817610062892</v>
      </c>
      <c r="K26" s="4">
        <v>8.9229559748427647</v>
      </c>
      <c r="L26" s="4">
        <v>81.538122487248359</v>
      </c>
      <c r="M26" s="4">
        <v>0.15135511866047283</v>
      </c>
      <c r="N26" s="4">
        <f t="shared" si="0"/>
        <v>69.221698113207538</v>
      </c>
      <c r="O26" s="5">
        <v>14.468820154786389</v>
      </c>
      <c r="P26" s="5">
        <v>11.20238427909235</v>
      </c>
      <c r="Q26" s="5">
        <v>14.148143858174061</v>
      </c>
      <c r="R26" s="5">
        <v>17.750401286485531</v>
      </c>
      <c r="S26" s="5">
        <v>21.501143438550891</v>
      </c>
      <c r="T26" s="5">
        <v>16.266742674862581</v>
      </c>
      <c r="U26" s="5">
        <v>4.4820007959823513</v>
      </c>
      <c r="V26" s="5">
        <v>0.16313391403616517</v>
      </c>
      <c r="W26" s="5">
        <v>1.7229598029516069E-2</v>
      </c>
      <c r="X26" s="5">
        <v>0</v>
      </c>
      <c r="Y26" s="5">
        <v>0</v>
      </c>
      <c r="Z26" s="5">
        <v>0</v>
      </c>
      <c r="AA26" s="5"/>
      <c r="AB26" s="5">
        <v>11.853461308709001</v>
      </c>
      <c r="AD26">
        <v>0.10107783802499999</v>
      </c>
      <c r="AE26">
        <v>9.94500604412734E-2</v>
      </c>
      <c r="AF26">
        <v>1.6104198660481708</v>
      </c>
      <c r="AG26">
        <v>1.1395139211261829</v>
      </c>
      <c r="AI26">
        <v>31</v>
      </c>
      <c r="AJ26">
        <v>2.2400000000000002</v>
      </c>
      <c r="AK26">
        <v>8.44</v>
      </c>
      <c r="AM26" s="5">
        <v>0</v>
      </c>
      <c r="AN26">
        <v>33.31835226418864</v>
      </c>
      <c r="AO26">
        <v>5.4775905376854732</v>
      </c>
    </row>
    <row r="27" spans="1:41" x14ac:dyDescent="0.2">
      <c r="A27" s="1">
        <v>26</v>
      </c>
      <c r="B27" s="1"/>
      <c r="C27" s="1"/>
      <c r="D27" s="2"/>
      <c r="E27" s="3"/>
      <c r="F27" s="3"/>
      <c r="G27" s="3">
        <v>114.47318749999999</v>
      </c>
      <c r="H27" s="2"/>
      <c r="I27" s="4">
        <v>21.194029850746244</v>
      </c>
      <c r="J27" s="4">
        <v>4.0298507462686501</v>
      </c>
      <c r="K27" s="4">
        <v>9.1477611940298367</v>
      </c>
      <c r="L27" s="4">
        <v>77.945953787777839</v>
      </c>
      <c r="M27" s="4">
        <v>0.21023582309020408</v>
      </c>
      <c r="N27" s="4">
        <f t="shared" si="0"/>
        <v>69.658208955223927</v>
      </c>
      <c r="O27" s="5">
        <v>16.579242789461869</v>
      </c>
      <c r="P27" s="5">
        <v>11.92950795381871</v>
      </c>
      <c r="Q27" s="5">
        <v>14.673708177375271</v>
      </c>
      <c r="R27" s="5">
        <v>17.504055272089801</v>
      </c>
      <c r="S27" s="5">
        <v>20.116785544418669</v>
      </c>
      <c r="T27" s="5">
        <v>14.77394152173181</v>
      </c>
      <c r="U27" s="5">
        <v>4.2016274551681851</v>
      </c>
      <c r="V27" s="5">
        <v>0.20534419868641821</v>
      </c>
      <c r="W27" s="5">
        <v>1.5787087249080331E-2</v>
      </c>
      <c r="X27" s="5">
        <v>0</v>
      </c>
      <c r="Y27" s="5">
        <v>0</v>
      </c>
      <c r="Z27" s="5">
        <v>0</v>
      </c>
      <c r="AA27" s="5"/>
      <c r="AB27" s="5">
        <v>10.3812063794752</v>
      </c>
      <c r="AD27">
        <v>0.10809413675</v>
      </c>
      <c r="AE27">
        <v>0.10100249539165415</v>
      </c>
      <c r="AF27">
        <v>6.5606161181039724</v>
      </c>
      <c r="AG27">
        <v>3.9402705897488466</v>
      </c>
      <c r="AI27">
        <v>32.19</v>
      </c>
      <c r="AJ27">
        <v>2.25</v>
      </c>
      <c r="AK27">
        <v>8.75</v>
      </c>
      <c r="AM27" s="5">
        <v>0</v>
      </c>
      <c r="AN27">
        <v>29.633098289038536</v>
      </c>
      <c r="AO27">
        <v>4.8254290874708916</v>
      </c>
    </row>
    <row r="28" spans="1:41" x14ac:dyDescent="0.2">
      <c r="A28" s="1">
        <v>27</v>
      </c>
      <c r="B28" s="1"/>
      <c r="C28" s="1"/>
      <c r="D28" s="2"/>
      <c r="E28" s="3"/>
      <c r="F28" s="3"/>
      <c r="G28" s="3">
        <v>121.84143749999998</v>
      </c>
      <c r="H28" s="2"/>
      <c r="I28" s="4">
        <v>19.584569732937695</v>
      </c>
      <c r="J28" s="4">
        <v>4.0059347181008853</v>
      </c>
      <c r="K28" s="4">
        <v>9.0934718100890102</v>
      </c>
      <c r="L28" s="4">
        <v>75.430214909201467</v>
      </c>
      <c r="M28" s="4">
        <v>0.15098354909626235</v>
      </c>
      <c r="N28" s="4">
        <f t="shared" si="0"/>
        <v>71.321958456973292</v>
      </c>
      <c r="O28" s="5">
        <v>16.408157246731157</v>
      </c>
      <c r="P28" s="5">
        <v>11.94463531618225</v>
      </c>
      <c r="Q28" s="5">
        <v>15.63642795137733</v>
      </c>
      <c r="R28" s="5">
        <v>18.4709353400456</v>
      </c>
      <c r="S28" s="5">
        <v>19.995012384789501</v>
      </c>
      <c r="T28" s="5">
        <v>13.75791605732492</v>
      </c>
      <c r="U28" s="5">
        <v>3.660075055817837</v>
      </c>
      <c r="V28" s="5">
        <v>0.12684064773121373</v>
      </c>
      <c r="W28" s="5">
        <v>0</v>
      </c>
      <c r="X28" s="5">
        <v>0</v>
      </c>
      <c r="Y28" s="5">
        <v>0</v>
      </c>
      <c r="Z28" s="5">
        <v>0</v>
      </c>
      <c r="AA28" s="5"/>
      <c r="AB28" s="5">
        <v>9.8835098913992301</v>
      </c>
      <c r="AD28">
        <v>0.10491312431407591</v>
      </c>
      <c r="AE28">
        <v>0.10108403050747479</v>
      </c>
      <c r="AF28">
        <v>3.6497757850943966</v>
      </c>
      <c r="AG28">
        <v>3.7144641121704378</v>
      </c>
      <c r="AI28">
        <v>31.42</v>
      </c>
      <c r="AJ28">
        <v>2.0099999999999998</v>
      </c>
      <c r="AK28">
        <v>8.5</v>
      </c>
      <c r="AM28" s="5">
        <v>0</v>
      </c>
      <c r="AN28">
        <v>38.715650660753091</v>
      </c>
      <c r="AO28">
        <v>6.50483922283287</v>
      </c>
    </row>
    <row r="29" spans="1:41" x14ac:dyDescent="0.2">
      <c r="A29" s="1">
        <v>28</v>
      </c>
      <c r="B29" s="1"/>
      <c r="C29" s="1"/>
      <c r="D29" s="2"/>
      <c r="E29" s="3"/>
      <c r="F29" s="3"/>
      <c r="G29" s="3">
        <v>129.43093750000003</v>
      </c>
      <c r="H29" s="2"/>
      <c r="I29" s="4">
        <v>17.857142857142865</v>
      </c>
      <c r="J29" s="4">
        <v>4.2582417582417893</v>
      </c>
      <c r="K29" s="4">
        <v>9.6662087912088612</v>
      </c>
      <c r="L29" s="4">
        <v>75.344129046670062</v>
      </c>
      <c r="M29" s="4">
        <v>0.23288369385651569</v>
      </c>
      <c r="N29" s="4">
        <f t="shared" si="0"/>
        <v>72.476648351648265</v>
      </c>
      <c r="O29" s="5">
        <v>18.875675039149918</v>
      </c>
      <c r="P29" s="5">
        <v>11.267277302256112</v>
      </c>
      <c r="Q29" s="5">
        <v>14.69100573955426</v>
      </c>
      <c r="R29" s="5">
        <v>19.193658651655081</v>
      </c>
      <c r="S29" s="5">
        <v>20.314423037841681</v>
      </c>
      <c r="T29" s="5">
        <v>12.875190865303178</v>
      </c>
      <c r="U29" s="5">
        <v>2.7732669717752962</v>
      </c>
      <c r="V29" s="5">
        <v>9.5023924642987333E-3</v>
      </c>
      <c r="W29" s="5">
        <v>0</v>
      </c>
      <c r="X29" s="5">
        <v>0</v>
      </c>
      <c r="Y29" s="5">
        <v>0</v>
      </c>
      <c r="Z29" s="5">
        <v>0</v>
      </c>
      <c r="AA29" s="5"/>
      <c r="AB29" s="5">
        <v>9.5335067647590606</v>
      </c>
      <c r="AD29">
        <v>0.12743766725</v>
      </c>
      <c r="AE29">
        <v>0.12624867326235359</v>
      </c>
      <c r="AF29">
        <v>0.93300043331294458</v>
      </c>
      <c r="AG29">
        <v>1.9646920853914462</v>
      </c>
      <c r="AI29">
        <v>33.83</v>
      </c>
      <c r="AJ29">
        <v>2.0499999999999998</v>
      </c>
      <c r="AK29">
        <v>8.9600000000000009</v>
      </c>
      <c r="AM29" s="5">
        <v>0</v>
      </c>
      <c r="AN29">
        <v>33.836839710595591</v>
      </c>
      <c r="AO29">
        <v>7.2527828992453571</v>
      </c>
    </row>
    <row r="30" spans="1:41" x14ac:dyDescent="0.2">
      <c r="A30" s="1">
        <v>29</v>
      </c>
      <c r="B30" s="1"/>
      <c r="C30" s="1"/>
      <c r="D30" s="2"/>
      <c r="E30" s="3"/>
      <c r="F30" s="3"/>
      <c r="G30" s="3">
        <v>137.24168750000001</v>
      </c>
      <c r="H30" s="2"/>
      <c r="I30" s="4">
        <v>17.142857142857139</v>
      </c>
      <c r="J30" s="4">
        <v>4.2857142857142971</v>
      </c>
      <c r="K30" s="4">
        <v>9.7285714285714544</v>
      </c>
      <c r="L30" s="4">
        <v>75.034356803765192</v>
      </c>
      <c r="M30" s="4">
        <v>0.21981859834422343</v>
      </c>
      <c r="N30" s="4">
        <f t="shared" si="0"/>
        <v>73.128571428571405</v>
      </c>
      <c r="O30" s="5">
        <v>12.801141487108886</v>
      </c>
      <c r="P30" s="5">
        <v>11.322885036009239</v>
      </c>
      <c r="Q30" s="5">
        <v>16.56843076963375</v>
      </c>
      <c r="R30" s="5">
        <v>22.11214858587217</v>
      </c>
      <c r="S30" s="5">
        <v>22.014505902614619</v>
      </c>
      <c r="T30" s="5">
        <v>12.675852550168401</v>
      </c>
      <c r="U30" s="5">
        <v>2.4997145669581373</v>
      </c>
      <c r="V30" s="5">
        <v>5.3211016345784323E-3</v>
      </c>
      <c r="W30" s="5">
        <v>0</v>
      </c>
      <c r="X30" s="5">
        <v>0</v>
      </c>
      <c r="Y30" s="5">
        <v>0</v>
      </c>
      <c r="Z30" s="5">
        <v>0</v>
      </c>
      <c r="AA30" s="5"/>
      <c r="AB30" s="5">
        <v>10.5948585644289</v>
      </c>
      <c r="AD30">
        <v>0.13030529124999998</v>
      </c>
      <c r="AE30">
        <v>0.12859659791662634</v>
      </c>
      <c r="AF30">
        <v>1.3113000377669972</v>
      </c>
      <c r="AG30">
        <v>0.10160286080878511</v>
      </c>
      <c r="AI30">
        <v>34.89</v>
      </c>
      <c r="AJ30">
        <v>2.17</v>
      </c>
      <c r="AK30">
        <v>9.3699999999999992</v>
      </c>
      <c r="AM30" s="5">
        <v>0</v>
      </c>
      <c r="AN30">
        <v>29.02544223680064</v>
      </c>
      <c r="AO30">
        <v>4.4975328295516634</v>
      </c>
    </row>
    <row r="31" spans="1:41" x14ac:dyDescent="0.2">
      <c r="A31" s="1">
        <v>30</v>
      </c>
      <c r="B31" s="1"/>
      <c r="C31" s="1"/>
      <c r="D31" s="2"/>
      <c r="E31" s="3"/>
      <c r="F31" s="3"/>
      <c r="G31" s="3">
        <v>145.27368749999999</v>
      </c>
      <c r="H31" s="2"/>
      <c r="I31" s="4">
        <v>16.570605187319863</v>
      </c>
      <c r="J31" s="4">
        <v>3.8904899135447137</v>
      </c>
      <c r="K31" s="4">
        <v>8.8314121037464997</v>
      </c>
      <c r="L31" s="4">
        <v>75.40547887403892</v>
      </c>
      <c r="M31" s="4">
        <v>0.22107715425079214</v>
      </c>
      <c r="N31" s="4">
        <f t="shared" si="0"/>
        <v>74.597982708933642</v>
      </c>
      <c r="O31" s="5">
        <v>15.713386043319932</v>
      </c>
      <c r="P31" s="5">
        <v>9.8217185618432197</v>
      </c>
      <c r="Q31" s="5">
        <v>15.47458612911039</v>
      </c>
      <c r="R31" s="5">
        <v>22.65897225112046</v>
      </c>
      <c r="S31" s="5">
        <v>22.61293513037198</v>
      </c>
      <c r="T31" s="5">
        <v>11.827545200615027</v>
      </c>
      <c r="U31" s="5">
        <v>1.8906695676403009</v>
      </c>
      <c r="V31" s="5">
        <v>1.87115978533825E-4</v>
      </c>
      <c r="W31" s="5">
        <v>0</v>
      </c>
      <c r="X31" s="5">
        <v>0</v>
      </c>
      <c r="Y31" s="5">
        <v>0</v>
      </c>
      <c r="Z31" s="5">
        <v>0</v>
      </c>
      <c r="AA31" s="5"/>
      <c r="AB31" s="5">
        <v>10.4661393578308</v>
      </c>
      <c r="AD31">
        <v>0.13721807749999998</v>
      </c>
      <c r="AE31">
        <v>0.13987941098287887</v>
      </c>
      <c r="AF31">
        <v>-1.9394918886535863</v>
      </c>
      <c r="AG31">
        <v>1.1334484951194959</v>
      </c>
      <c r="AI31">
        <v>35.57</v>
      </c>
      <c r="AJ31">
        <v>2.27</v>
      </c>
      <c r="AK31">
        <v>9.6300000000000008</v>
      </c>
      <c r="AM31" s="5">
        <v>0</v>
      </c>
      <c r="AN31">
        <v>25.810687536467814</v>
      </c>
      <c r="AO31">
        <v>5.4253195361955484</v>
      </c>
    </row>
    <row r="32" spans="1:41" x14ac:dyDescent="0.2">
      <c r="A32" s="1">
        <v>31</v>
      </c>
      <c r="B32" s="1"/>
      <c r="C32" s="1"/>
      <c r="D32" s="2"/>
      <c r="E32" s="3"/>
      <c r="F32" s="3"/>
      <c r="G32" s="3">
        <v>153.52693750000003</v>
      </c>
      <c r="H32" s="2"/>
      <c r="I32" s="4">
        <v>16.116248348745035</v>
      </c>
      <c r="J32" s="4">
        <v>3.5667107001320955</v>
      </c>
      <c r="K32" s="4">
        <v>8.0964332892998563</v>
      </c>
      <c r="L32" s="4">
        <v>74.837844134673631</v>
      </c>
      <c r="M32" s="4">
        <v>0.20685482236828265</v>
      </c>
      <c r="N32" s="4">
        <f t="shared" si="0"/>
        <v>75.787318361955101</v>
      </c>
      <c r="O32" s="5">
        <v>16.923082111693024</v>
      </c>
      <c r="P32" s="5">
        <v>12.2397960223254</v>
      </c>
      <c r="Q32" s="5">
        <v>16.87611441546996</v>
      </c>
      <c r="R32" s="5">
        <v>21.922863657905332</v>
      </c>
      <c r="S32" s="5">
        <v>19.874884352974711</v>
      </c>
      <c r="T32" s="5">
        <v>10.136204144029879</v>
      </c>
      <c r="U32" s="5">
        <v>2.0231896506326712</v>
      </c>
      <c r="V32" s="5">
        <v>3.8656449688687627E-3</v>
      </c>
      <c r="W32" s="5">
        <v>0</v>
      </c>
      <c r="X32" s="5">
        <v>0</v>
      </c>
      <c r="Y32" s="5">
        <v>0</v>
      </c>
      <c r="Z32" s="5">
        <v>0</v>
      </c>
      <c r="AA32" s="5"/>
      <c r="AB32" s="5">
        <v>8.9078520592728108</v>
      </c>
      <c r="AD32">
        <v>0.15547592499999999</v>
      </c>
      <c r="AE32">
        <v>0.1492125193125026</v>
      </c>
      <c r="AF32">
        <v>4.0285373362450763</v>
      </c>
      <c r="AG32">
        <v>2.4924569232150442</v>
      </c>
      <c r="AI32">
        <v>36.46</v>
      </c>
      <c r="AJ32">
        <v>2.41</v>
      </c>
      <c r="AK32">
        <v>9.8800000000000008</v>
      </c>
      <c r="AM32" s="5">
        <v>0</v>
      </c>
      <c r="AN32">
        <v>23.774066321500676</v>
      </c>
      <c r="AO32">
        <v>5.2941726223039165</v>
      </c>
    </row>
    <row r="33" spans="1:41" x14ac:dyDescent="0.2">
      <c r="A33" s="1">
        <v>32</v>
      </c>
      <c r="B33" s="1"/>
      <c r="C33" s="1"/>
      <c r="D33" s="2"/>
      <c r="E33" s="3"/>
      <c r="F33" s="3"/>
      <c r="G33" s="3">
        <v>162.00143750000001</v>
      </c>
      <c r="H33" s="2"/>
      <c r="I33" s="4">
        <v>16.334661354581677</v>
      </c>
      <c r="J33" s="4">
        <v>3.3200531208499333</v>
      </c>
      <c r="K33" s="4">
        <v>7.5365205843293488</v>
      </c>
      <c r="L33" s="4">
        <v>72.27796646404434</v>
      </c>
      <c r="M33" s="4">
        <v>0.22812725819145482</v>
      </c>
      <c r="N33" s="4">
        <f t="shared" si="0"/>
        <v>76.128818061088978</v>
      </c>
      <c r="O33" s="5">
        <v>15.241721657240197</v>
      </c>
      <c r="P33" s="5">
        <v>11.34425277870764</v>
      </c>
      <c r="Q33" s="5">
        <v>17.18236912320949</v>
      </c>
      <c r="R33" s="5">
        <v>23.271141230986089</v>
      </c>
      <c r="S33" s="5">
        <v>20.522244897822571</v>
      </c>
      <c r="T33" s="5">
        <v>10.11288046643214</v>
      </c>
      <c r="U33" s="5">
        <v>1.7758042092349029</v>
      </c>
      <c r="V33" s="5">
        <v>2.3832928989975171E-4</v>
      </c>
      <c r="W33" s="5">
        <v>0.20012761693602937</v>
      </c>
      <c r="X33" s="5">
        <v>0.33790316092405692</v>
      </c>
      <c r="Y33" s="5">
        <v>1.1316527698781439E-2</v>
      </c>
      <c r="Z33" s="5">
        <v>0</v>
      </c>
      <c r="AA33" s="5"/>
      <c r="AB33" s="5">
        <v>9.4805832946366202</v>
      </c>
      <c r="AD33">
        <v>0.1649600195</v>
      </c>
      <c r="AE33">
        <v>0.15607143699801687</v>
      </c>
      <c r="AF33">
        <v>5.3883253220536433</v>
      </c>
      <c r="AG33">
        <v>3.3597050666372783</v>
      </c>
      <c r="AI33">
        <v>37.07</v>
      </c>
      <c r="AJ33">
        <v>2.52</v>
      </c>
      <c r="AK33">
        <v>10.3</v>
      </c>
      <c r="AM33" s="5">
        <v>0</v>
      </c>
      <c r="AN33">
        <v>28.391057862557133</v>
      </c>
      <c r="AO33">
        <v>6.6729394757141529</v>
      </c>
    </row>
    <row r="34" spans="1:41" x14ac:dyDescent="0.2">
      <c r="A34" s="1">
        <v>33</v>
      </c>
      <c r="B34" s="1"/>
      <c r="C34" s="1"/>
      <c r="D34" s="2"/>
      <c r="E34" s="3"/>
      <c r="F34" s="3"/>
      <c r="G34" s="3">
        <v>170.69718749999998</v>
      </c>
      <c r="H34" s="2"/>
      <c r="I34" s="4">
        <v>15.810276679841889</v>
      </c>
      <c r="J34" s="4">
        <v>3.5573122529644214</v>
      </c>
      <c r="K34" s="4">
        <v>8.0750988142292375</v>
      </c>
      <c r="L34" s="4">
        <v>68.772663399582896</v>
      </c>
      <c r="M34" s="4">
        <v>0.35286280243160606</v>
      </c>
      <c r="N34" s="4">
        <f t="shared" si="0"/>
        <v>76.114624505928873</v>
      </c>
      <c r="O34" s="5">
        <v>16.688887262793457</v>
      </c>
      <c r="P34" s="5">
        <v>12.39295405081328</v>
      </c>
      <c r="Q34" s="5">
        <v>18.470632975434398</v>
      </c>
      <c r="R34" s="5">
        <v>23.235447714397889</v>
      </c>
      <c r="S34" s="5">
        <v>18.893297676958611</v>
      </c>
      <c r="T34" s="5">
        <v>8.9765657623751807</v>
      </c>
      <c r="U34" s="5">
        <v>1.342196009758253</v>
      </c>
      <c r="V34" s="5">
        <v>1.85474687270925E-5</v>
      </c>
      <c r="W34" s="5">
        <v>0</v>
      </c>
      <c r="X34" s="5">
        <v>0</v>
      </c>
      <c r="Y34" s="5">
        <v>0</v>
      </c>
      <c r="Z34" s="5">
        <v>0</v>
      </c>
      <c r="AA34" s="5"/>
      <c r="AB34" s="5">
        <v>8.4020925010418495</v>
      </c>
      <c r="AD34">
        <v>0.195129153</v>
      </c>
      <c r="AE34">
        <v>0.19383690522482935</v>
      </c>
      <c r="AF34">
        <v>0.6622525416131162</v>
      </c>
      <c r="AG34">
        <v>3.5964723188647532</v>
      </c>
      <c r="AI34">
        <v>39.799999999999997</v>
      </c>
      <c r="AJ34">
        <v>2.64</v>
      </c>
      <c r="AK34">
        <v>11.28</v>
      </c>
      <c r="AM34" s="5">
        <v>1.9924128571891628</v>
      </c>
      <c r="AN34">
        <v>32.448188443597751</v>
      </c>
      <c r="AO34">
        <v>29.292988651774508</v>
      </c>
    </row>
    <row r="35" spans="1:41" x14ac:dyDescent="0.2">
      <c r="E35" s="2"/>
      <c r="F35" s="2"/>
      <c r="L35" s="4"/>
      <c r="M35" s="4"/>
      <c r="N35" s="4"/>
    </row>
    <row r="36" spans="1:41" x14ac:dyDescent="0.2">
      <c r="L36" s="4"/>
      <c r="M36" s="4"/>
      <c r="N36" s="4"/>
    </row>
    <row r="61" spans="1:22" x14ac:dyDescent="0.2">
      <c r="A61" t="s">
        <v>27</v>
      </c>
    </row>
    <row r="62" spans="1:22" x14ac:dyDescent="0.2">
      <c r="A62" s="1" t="s">
        <v>28</v>
      </c>
      <c r="B62" s="1"/>
      <c r="C62" s="1"/>
      <c r="D62" s="1"/>
      <c r="E62" s="1"/>
    </row>
    <row r="63" spans="1:22" x14ac:dyDescent="0.2">
      <c r="A63" s="1">
        <v>315</v>
      </c>
      <c r="B63" s="1"/>
      <c r="C63" s="1"/>
      <c r="D63" s="6"/>
      <c r="E63" s="6"/>
    </row>
    <row r="64" spans="1:22" x14ac:dyDescent="0.2">
      <c r="A64" s="1">
        <v>320</v>
      </c>
      <c r="B64" s="1"/>
      <c r="C64" s="1"/>
      <c r="D64" s="6"/>
      <c r="E64" s="6"/>
      <c r="L64" s="5"/>
      <c r="M64" s="5"/>
      <c r="N64" s="5"/>
      <c r="Q64" s="2"/>
      <c r="R64" s="2"/>
      <c r="T64" s="4"/>
      <c r="V64" s="2"/>
    </row>
    <row r="65" spans="1:22" x14ac:dyDescent="0.2">
      <c r="A65" s="1">
        <v>325</v>
      </c>
      <c r="B65" s="1"/>
      <c r="C65" s="1"/>
      <c r="D65" s="6"/>
      <c r="E65" s="6"/>
      <c r="L65" s="5"/>
      <c r="M65" s="5"/>
      <c r="N65" s="5"/>
      <c r="Q65" s="2"/>
      <c r="R65" s="2"/>
      <c r="T65" s="4"/>
      <c r="V65" s="2"/>
    </row>
    <row r="66" spans="1:22" x14ac:dyDescent="0.2">
      <c r="A66" s="1">
        <v>330</v>
      </c>
      <c r="B66" s="1"/>
      <c r="C66" s="1"/>
      <c r="D66" s="6"/>
      <c r="E66" s="6"/>
      <c r="L66" s="5"/>
      <c r="M66" s="5"/>
      <c r="N66" s="5"/>
      <c r="Q66" s="2"/>
      <c r="R66" s="2"/>
      <c r="T66" s="4"/>
      <c r="V66" s="2"/>
    </row>
    <row r="67" spans="1:22" x14ac:dyDescent="0.2">
      <c r="A67" s="1">
        <v>335</v>
      </c>
      <c r="B67" s="1"/>
      <c r="C67" s="1"/>
      <c r="D67" s="6"/>
      <c r="E67" s="6"/>
      <c r="L67" s="5"/>
      <c r="M67" s="5"/>
      <c r="N67" s="5"/>
      <c r="Q67" s="2"/>
      <c r="R67" s="2"/>
      <c r="T67" s="4"/>
      <c r="V67" s="2"/>
    </row>
    <row r="68" spans="1:22" x14ac:dyDescent="0.2">
      <c r="A68" s="1">
        <v>340</v>
      </c>
      <c r="B68" s="1"/>
      <c r="C68" s="1"/>
      <c r="D68" s="6"/>
      <c r="E68" s="6"/>
      <c r="L68" s="5"/>
      <c r="M68" s="5"/>
      <c r="N68" s="5"/>
      <c r="Q68" s="2"/>
      <c r="R68" s="2"/>
      <c r="T68" s="4"/>
      <c r="V68" s="2"/>
    </row>
    <row r="69" spans="1:22" x14ac:dyDescent="0.2">
      <c r="A69" s="1">
        <v>345</v>
      </c>
      <c r="B69" s="1"/>
      <c r="C69" s="1"/>
      <c r="D69" s="6"/>
      <c r="E69" s="6"/>
      <c r="L69" s="5"/>
      <c r="M69" s="5"/>
      <c r="N69" s="5"/>
      <c r="Q69" s="2"/>
      <c r="R69" s="2"/>
      <c r="T69" s="4"/>
      <c r="V69" s="2"/>
    </row>
    <row r="70" spans="1:22" x14ac:dyDescent="0.2">
      <c r="A70" s="1">
        <v>350</v>
      </c>
      <c r="B70" s="1"/>
      <c r="C70" s="1"/>
      <c r="D70" s="6"/>
      <c r="E70" s="6"/>
      <c r="L70" s="5"/>
      <c r="M70" s="5"/>
      <c r="N70" s="5"/>
      <c r="Q70" s="2"/>
      <c r="R70" s="2"/>
      <c r="T70" s="4"/>
      <c r="V70" s="2"/>
    </row>
    <row r="71" spans="1:22" x14ac:dyDescent="0.2">
      <c r="A71" s="1">
        <v>355</v>
      </c>
      <c r="B71" s="1"/>
      <c r="C71" s="1"/>
      <c r="D71" s="6"/>
      <c r="E71" s="6"/>
      <c r="L71" s="5"/>
      <c r="M71" s="5"/>
      <c r="N71" s="5"/>
      <c r="Q71" s="2"/>
      <c r="R71" s="2"/>
      <c r="T71" s="4"/>
      <c r="V71" s="2"/>
    </row>
    <row r="72" spans="1:22" x14ac:dyDescent="0.2">
      <c r="A72" s="1">
        <v>360</v>
      </c>
      <c r="B72" s="1"/>
      <c r="C72" s="1"/>
      <c r="D72" s="6"/>
      <c r="E72" s="6"/>
      <c r="L72" s="5"/>
      <c r="M72" s="5"/>
      <c r="N72" s="5"/>
      <c r="Q72" s="2"/>
      <c r="R72" s="2"/>
      <c r="T72" s="4"/>
      <c r="V72" s="2"/>
    </row>
    <row r="73" spans="1:22" x14ac:dyDescent="0.2">
      <c r="A73" s="1">
        <v>365</v>
      </c>
      <c r="B73" s="1"/>
      <c r="C73" s="1"/>
      <c r="D73" s="6"/>
      <c r="E73" s="6"/>
      <c r="L73" s="5"/>
      <c r="M73" s="5"/>
      <c r="N73" s="5"/>
      <c r="Q73" s="2"/>
      <c r="R73" s="2"/>
      <c r="T73" s="4"/>
      <c r="V73" s="2"/>
    </row>
    <row r="74" spans="1:22" x14ac:dyDescent="0.2">
      <c r="A74" s="1">
        <v>370</v>
      </c>
      <c r="B74" s="1"/>
      <c r="C74" s="1"/>
      <c r="D74" s="6"/>
      <c r="E74" s="6"/>
      <c r="L74" s="5"/>
      <c r="M74" s="5"/>
      <c r="N74" s="5"/>
      <c r="Q74" s="2"/>
      <c r="R74" s="2"/>
      <c r="T74" s="4"/>
      <c r="V74" s="2"/>
    </row>
    <row r="75" spans="1:22" x14ac:dyDescent="0.2">
      <c r="A75" s="1">
        <v>375</v>
      </c>
      <c r="B75" s="1"/>
      <c r="C75" s="1"/>
      <c r="D75" s="6"/>
      <c r="E75" s="6"/>
      <c r="L75" s="5"/>
      <c r="M75" s="5"/>
      <c r="N75" s="5"/>
      <c r="Q75" s="2"/>
      <c r="R75" s="2"/>
      <c r="T75" s="4"/>
      <c r="V75" s="2"/>
    </row>
    <row r="76" spans="1:22" x14ac:dyDescent="0.2">
      <c r="A76" s="1">
        <v>380</v>
      </c>
      <c r="B76" s="1"/>
      <c r="C76" s="1"/>
      <c r="D76" s="6"/>
      <c r="E76" s="6"/>
      <c r="L76" s="5"/>
      <c r="M76" s="5"/>
      <c r="N76" s="5"/>
      <c r="Q76" s="2"/>
      <c r="R76" s="2"/>
      <c r="T76" s="4"/>
      <c r="V76" s="2"/>
    </row>
    <row r="77" spans="1:22" x14ac:dyDescent="0.2">
      <c r="A77" s="1">
        <v>385</v>
      </c>
      <c r="B77" s="1"/>
      <c r="C77" s="1"/>
      <c r="D77" s="6"/>
      <c r="E77" s="6"/>
      <c r="L77" s="5"/>
      <c r="M77" s="5"/>
      <c r="N77" s="5"/>
      <c r="Q77" s="2"/>
      <c r="R77" s="2"/>
      <c r="T77" s="4"/>
      <c r="V77" s="2"/>
    </row>
    <row r="78" spans="1:22" x14ac:dyDescent="0.2">
      <c r="A78" s="1">
        <v>390</v>
      </c>
      <c r="B78" s="1"/>
      <c r="C78" s="1"/>
      <c r="D78" s="6"/>
      <c r="E78" s="6"/>
      <c r="L78" s="5"/>
      <c r="M78" s="5"/>
      <c r="N78" s="5"/>
      <c r="Q78" s="2"/>
      <c r="R78" s="2"/>
      <c r="T78" s="4"/>
      <c r="V78" s="2"/>
    </row>
    <row r="79" spans="1:22" x14ac:dyDescent="0.2">
      <c r="A79" s="1">
        <v>395</v>
      </c>
      <c r="B79" s="1"/>
      <c r="C79" s="1"/>
      <c r="D79" s="6"/>
      <c r="E79" s="6"/>
      <c r="L79" s="5"/>
      <c r="M79" s="5"/>
      <c r="N79" s="5"/>
      <c r="Q79" s="2"/>
      <c r="R79" s="2"/>
      <c r="T79" s="4"/>
      <c r="V79" s="2"/>
    </row>
    <row r="80" spans="1:22" x14ac:dyDescent="0.2">
      <c r="A80" s="1">
        <v>400</v>
      </c>
      <c r="B80" s="1"/>
      <c r="C80" s="1"/>
      <c r="D80" s="6"/>
      <c r="E80" s="6"/>
      <c r="L80" s="5"/>
      <c r="M80" s="5"/>
      <c r="N80" s="5"/>
      <c r="Q80" s="2"/>
      <c r="R80" s="2"/>
      <c r="T80" s="4"/>
      <c r="V80" s="2"/>
    </row>
    <row r="81" spans="1:22" x14ac:dyDescent="0.2">
      <c r="A81" s="1">
        <v>405</v>
      </c>
      <c r="B81" s="1"/>
      <c r="C81" s="1"/>
      <c r="D81" s="6"/>
      <c r="E81" s="6"/>
      <c r="L81" s="5"/>
      <c r="M81" s="5"/>
      <c r="N81" s="5"/>
      <c r="Q81" s="2"/>
      <c r="R81" s="2"/>
      <c r="T81" s="4"/>
      <c r="V81" s="2"/>
    </row>
    <row r="82" spans="1:22" x14ac:dyDescent="0.2">
      <c r="A82" s="1">
        <v>409.99999999999994</v>
      </c>
      <c r="B82" s="1"/>
      <c r="C82" s="1"/>
      <c r="D82" s="6"/>
      <c r="E82" s="6"/>
      <c r="L82" s="5"/>
      <c r="M82" s="5"/>
      <c r="N82" s="5"/>
      <c r="Q82" s="2"/>
      <c r="R82" s="2"/>
      <c r="T82" s="4"/>
      <c r="V82" s="2"/>
    </row>
    <row r="83" spans="1:22" x14ac:dyDescent="0.2">
      <c r="A83" s="1">
        <v>415.00000000000006</v>
      </c>
      <c r="B83" s="1"/>
      <c r="C83" s="1"/>
      <c r="D83" s="6"/>
      <c r="E83" s="6"/>
      <c r="L83" s="5"/>
      <c r="M83" s="5"/>
      <c r="N83" s="5"/>
      <c r="Q83" s="2"/>
      <c r="R83" s="2"/>
      <c r="T83" s="4"/>
      <c r="V83" s="2"/>
    </row>
    <row r="84" spans="1:22" x14ac:dyDescent="0.2">
      <c r="A84" s="1">
        <v>420</v>
      </c>
      <c r="B84" s="1"/>
      <c r="C84" s="1"/>
      <c r="D84" s="6"/>
      <c r="E84" s="6"/>
      <c r="L84" s="5"/>
      <c r="M84" s="5"/>
      <c r="N84" s="5"/>
      <c r="Q84" s="2"/>
      <c r="R84" s="2"/>
      <c r="T84" s="4"/>
      <c r="V84" s="2"/>
    </row>
    <row r="85" spans="1:22" x14ac:dyDescent="0.2">
      <c r="A85" s="1">
        <v>425</v>
      </c>
      <c r="B85" s="1"/>
      <c r="C85" s="1"/>
      <c r="D85" s="6"/>
      <c r="E85" s="6"/>
      <c r="L85" s="5"/>
      <c r="M85" s="5"/>
      <c r="N85" s="5"/>
      <c r="Q85" s="2"/>
      <c r="R85" s="2"/>
      <c r="T85" s="4"/>
      <c r="V85" s="2"/>
    </row>
    <row r="86" spans="1:22" x14ac:dyDescent="0.2">
      <c r="A86" s="1">
        <v>430</v>
      </c>
      <c r="B86" s="1"/>
      <c r="C86" s="1"/>
      <c r="D86" s="6"/>
      <c r="E86" s="6"/>
      <c r="L86" s="5"/>
      <c r="M86" s="5"/>
      <c r="N86" s="5"/>
      <c r="Q86" s="2"/>
      <c r="R86" s="2"/>
      <c r="T86" s="4"/>
      <c r="V86" s="2"/>
    </row>
    <row r="87" spans="1:22" x14ac:dyDescent="0.2">
      <c r="A87" s="1">
        <v>434.99999999999994</v>
      </c>
      <c r="B87" s="1"/>
      <c r="C87" s="1"/>
      <c r="D87" s="6"/>
      <c r="E87" s="6"/>
      <c r="L87" s="5"/>
      <c r="M87" s="5"/>
      <c r="N87" s="5"/>
      <c r="Q87" s="2"/>
      <c r="R87" s="2"/>
      <c r="T87" s="4"/>
      <c r="V87" s="2"/>
    </row>
    <row r="88" spans="1:22" x14ac:dyDescent="0.2">
      <c r="A88" s="1">
        <v>440.00000000000006</v>
      </c>
      <c r="B88" s="1"/>
      <c r="C88" s="1"/>
      <c r="D88" s="6"/>
      <c r="E88" s="6"/>
      <c r="L88" s="5"/>
      <c r="M88" s="5"/>
      <c r="N88" s="5"/>
      <c r="Q88" s="2"/>
      <c r="R88" s="2"/>
      <c r="T88" s="4"/>
      <c r="V88" s="2"/>
    </row>
    <row r="89" spans="1:22" x14ac:dyDescent="0.2">
      <c r="A89" s="1">
        <v>445</v>
      </c>
      <c r="B89" s="1"/>
      <c r="C89" s="1"/>
      <c r="D89" s="6"/>
      <c r="E89" s="6"/>
      <c r="L89" s="5"/>
      <c r="M89" s="5"/>
      <c r="N89" s="5"/>
      <c r="Q89" s="2"/>
      <c r="R89" s="2"/>
      <c r="T89" s="4"/>
      <c r="V89" s="2"/>
    </row>
    <row r="90" spans="1:22" x14ac:dyDescent="0.2">
      <c r="A90" s="1">
        <v>450</v>
      </c>
      <c r="B90" s="1"/>
      <c r="C90" s="1"/>
      <c r="D90" s="6"/>
      <c r="E90" s="6"/>
      <c r="L90" s="5"/>
      <c r="M90" s="5"/>
      <c r="N90" s="5"/>
      <c r="Q90" s="2"/>
      <c r="R90" s="2"/>
      <c r="T90" s="4"/>
      <c r="V90" s="2"/>
    </row>
    <row r="91" spans="1:22" x14ac:dyDescent="0.2">
      <c r="A91" s="1">
        <v>455</v>
      </c>
      <c r="B91" s="1"/>
      <c r="C91" s="1"/>
      <c r="D91" s="6"/>
      <c r="E91" s="6"/>
      <c r="L91" s="5"/>
      <c r="M91" s="5"/>
      <c r="N91" s="5"/>
      <c r="Q91" s="2"/>
      <c r="R91" s="2"/>
      <c r="T91" s="4"/>
      <c r="V91" s="2"/>
    </row>
    <row r="92" spans="1:22" x14ac:dyDescent="0.2">
      <c r="A92" s="1">
        <v>459.99999999999994</v>
      </c>
      <c r="B92" s="1"/>
      <c r="C92" s="1"/>
      <c r="D92" s="6"/>
      <c r="E92" s="6"/>
      <c r="L92" s="5"/>
      <c r="M92" s="5"/>
      <c r="N92" s="5"/>
      <c r="Q92" s="2"/>
      <c r="R92" s="2"/>
      <c r="T92" s="4"/>
      <c r="V92" s="2"/>
    </row>
    <row r="93" spans="1:22" x14ac:dyDescent="0.2">
      <c r="C93" s="4"/>
      <c r="D93" s="4"/>
      <c r="L93" s="5"/>
      <c r="M93" s="5"/>
      <c r="N93" s="5"/>
      <c r="Q93" s="2"/>
      <c r="R93" s="2"/>
      <c r="T93" s="4"/>
      <c r="V93" s="2"/>
    </row>
    <row r="94" spans="1:22" x14ac:dyDescent="0.2">
      <c r="C94" s="4"/>
      <c r="D94" s="4"/>
      <c r="O94" s="2"/>
      <c r="P94" s="2"/>
      <c r="Q94" s="2"/>
      <c r="R94" s="2"/>
      <c r="T94" s="4"/>
      <c r="V94" s="2"/>
    </row>
    <row r="95" spans="1:22" x14ac:dyDescent="0.2">
      <c r="C95" s="4"/>
      <c r="D95" s="4"/>
      <c r="O95" s="2"/>
      <c r="P95" s="2"/>
      <c r="Q95" s="2"/>
      <c r="R95" s="2"/>
      <c r="T95" s="4"/>
      <c r="V95" s="2"/>
    </row>
    <row r="96" spans="1:22" x14ac:dyDescent="0.2">
      <c r="C96" s="4"/>
      <c r="D96" s="4"/>
      <c r="O96" s="2"/>
      <c r="P96" s="2"/>
      <c r="Q96" s="2"/>
      <c r="R96" s="2"/>
      <c r="T96" s="4"/>
      <c r="V96" s="2"/>
    </row>
    <row r="97" spans="3:16" x14ac:dyDescent="0.2">
      <c r="C97" s="4"/>
      <c r="D97" s="4"/>
      <c r="O97" s="2"/>
      <c r="P97" s="2"/>
    </row>
    <row r="98" spans="3:16" x14ac:dyDescent="0.2">
      <c r="C98" s="4"/>
      <c r="D98" s="4"/>
    </row>
    <row r="99" spans="3:16" x14ac:dyDescent="0.2">
      <c r="C99" s="4"/>
      <c r="D99" s="4"/>
    </row>
    <row r="100" spans="3:16" x14ac:dyDescent="0.2">
      <c r="C100" s="4"/>
      <c r="D100" s="4"/>
    </row>
    <row r="101" spans="3:16" x14ac:dyDescent="0.2">
      <c r="C101" s="4"/>
      <c r="D101" s="4"/>
    </row>
    <row r="102" spans="3:16" x14ac:dyDescent="0.2">
      <c r="C102" s="4"/>
      <c r="D102" s="4"/>
    </row>
    <row r="103" spans="3:16" x14ac:dyDescent="0.2">
      <c r="C103" s="4"/>
      <c r="D103" s="4"/>
    </row>
    <row r="104" spans="3:16" x14ac:dyDescent="0.2">
      <c r="C104" s="4"/>
      <c r="D104" s="4"/>
    </row>
    <row r="105" spans="3:16" x14ac:dyDescent="0.2">
      <c r="C105" s="4"/>
      <c r="D105" s="4"/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Microsoft Office User</cp:lastModifiedBy>
  <cp:revision>2</cp:revision>
  <dcterms:created xsi:type="dcterms:W3CDTF">2024-11-30T23:27:13Z</dcterms:created>
  <dcterms:modified xsi:type="dcterms:W3CDTF">2025-08-29T11:30:23Z</dcterms:modified>
</cp:coreProperties>
</file>